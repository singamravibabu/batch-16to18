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trlProps/ctrlProp1.xml" ContentType="application/vnd.ms-excel.controlproperties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interviews\batch-16to18\"/>
    </mc:Choice>
  </mc:AlternateContent>
  <xr:revisionPtr revIDLastSave="0" documentId="13_ncr:1_{6A6741B6-3BC0-48B7-AC96-693996C70787}" xr6:coauthVersionLast="47" xr6:coauthVersionMax="47" xr10:uidLastSave="{00000000-0000-0000-0000-000000000000}"/>
  <bookViews>
    <workbookView xWindow="-120" yWindow="-120" windowWidth="19440" windowHeight="10320" firstSheet="35" activeTab="41" xr2:uid="{781D3D2D-8B7A-4D6C-8C94-B26D2801387A}"/>
  </bookViews>
  <sheets>
    <sheet name="Sheet1" sheetId="1" r:id="rId1"/>
    <sheet name="Sheet2" sheetId="2" r:id="rId2"/>
    <sheet name="Sheet4" sheetId="4" r:id="rId3"/>
    <sheet name="Sheet5" sheetId="5" r:id="rId4"/>
    <sheet name="Sheet6" sheetId="6" r:id="rId5"/>
    <sheet name="Sheet3" sheetId="3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7" sheetId="17" r:id="rId16"/>
    <sheet name="Sheet16" sheetId="16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9" sheetId="29" r:id="rId28"/>
    <sheet name="Sheet32" sheetId="32" r:id="rId29"/>
    <sheet name="Sheet28" sheetId="28" r:id="rId30"/>
    <sheet name="Sheet31" sheetId="31" r:id="rId31"/>
    <sheet name="Sheet30" sheetId="33" r:id="rId32"/>
    <sheet name="Sheet33" sheetId="34" r:id="rId33"/>
    <sheet name="Sheet34" sheetId="35" r:id="rId34"/>
    <sheet name="Sheet35" sheetId="36" r:id="rId35"/>
    <sheet name="Sheet36" sheetId="37" r:id="rId36"/>
    <sheet name="Sheet37" sheetId="38" r:id="rId37"/>
    <sheet name="Sheet38" sheetId="39" r:id="rId38"/>
    <sheet name="Sheet39" sheetId="40" r:id="rId39"/>
    <sheet name="Sheet40" sheetId="41" r:id="rId40"/>
    <sheet name="Sheet41" sheetId="42" r:id="rId41"/>
    <sheet name="Sheet42" sheetId="43" r:id="rId42"/>
  </sheets>
  <definedNames>
    <definedName name="Agent">Sheet39!$B$4:$B$11</definedName>
    <definedName name="Date" localSheetId="39">Sheet40!$G$5:$G$104</definedName>
    <definedName name="Date">Sheet38!$G$5:$G$104</definedName>
    <definedName name="Grant">Sheet37!$H$11:$K$14</definedName>
    <definedName name="Month" localSheetId="39">Sheet40!$B$5:$B$104</definedName>
    <definedName name="Month">Sheet38!$B$5:$B$104</definedName>
    <definedName name="Name" localSheetId="39">Sheet40!$A$5:$A$104</definedName>
    <definedName name="Name">Sheet38!$A$5:$A$104</definedName>
    <definedName name="NativeTimeline_Date">#N/A</definedName>
    <definedName name="Product" localSheetId="39">Sheet40!$D$5:$D$104</definedName>
    <definedName name="Product">Sheet38!$D$5:$D$104</definedName>
    <definedName name="Profit" localSheetId="39">Sheet40!$F$5:$F$104</definedName>
    <definedName name="Profit">Sheet38!$F$5:$F$104</definedName>
    <definedName name="Quarter1">Sheet39!$C$4:$C$11</definedName>
    <definedName name="Quarter2">Sheet39!$D$4:$D$11</definedName>
    <definedName name="Quarter3">Sheet39!$E$4:$E$11</definedName>
    <definedName name="Quarter4">Sheet39!$F$4:$F$11</definedName>
    <definedName name="Region" localSheetId="39">Sheet40!$C$5:$C$104</definedName>
    <definedName name="Region">Sheet38!$C$5:$C$104</definedName>
    <definedName name="Sales" localSheetId="39">Sheet40!$E$5:$E$104</definedName>
    <definedName name="Sales">Sheet38!$E$5:$E$104</definedName>
    <definedName name="Scores">Sheet37!$H$1:$L$7</definedName>
  </definedNames>
  <calcPr calcId="191029"/>
  <pivotCaches>
    <pivotCache cacheId="0" r:id="rId43"/>
    <pivotCache cacheId="1" r:id="rId4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2" l="1"/>
  <c r="C4" i="42"/>
  <c r="C5" i="42"/>
  <c r="C6" i="42"/>
  <c r="C7" i="42"/>
  <c r="C8" i="42"/>
  <c r="C9" i="42"/>
  <c r="C2" i="42"/>
  <c r="B3" i="42"/>
  <c r="B4" i="42"/>
  <c r="B5" i="42"/>
  <c r="B6" i="42"/>
  <c r="B7" i="42"/>
  <c r="B8" i="42"/>
  <c r="B9" i="42"/>
  <c r="B2" i="42"/>
  <c r="K15" i="39"/>
  <c r="K13" i="39"/>
  <c r="P3" i="41"/>
  <c r="P4" i="41"/>
  <c r="P5" i="41"/>
  <c r="P6" i="41"/>
  <c r="P7" i="41"/>
  <c r="P8" i="41"/>
  <c r="P9" i="41"/>
  <c r="P10" i="41"/>
  <c r="P2" i="41"/>
  <c r="K11" i="41"/>
  <c r="K12" i="41"/>
  <c r="K10" i="41"/>
  <c r="J8" i="41"/>
  <c r="J6" i="41"/>
  <c r="J7" i="41"/>
  <c r="J5" i="41"/>
  <c r="P4" i="39"/>
  <c r="P5" i="39"/>
  <c r="P6" i="39"/>
  <c r="P7" i="39"/>
  <c r="P8" i="39"/>
  <c r="P9" i="39"/>
  <c r="P10" i="39"/>
  <c r="P11" i="39"/>
  <c r="P3" i="39"/>
  <c r="K10" i="39"/>
  <c r="K11" i="39"/>
  <c r="K9" i="39"/>
  <c r="J7" i="39"/>
  <c r="J6" i="39"/>
  <c r="J5" i="39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2" i="38"/>
  <c r="D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K6" i="37"/>
  <c r="H8" i="37"/>
  <c r="H6" i="37"/>
  <c r="D8" i="37"/>
  <c r="D6" i="37"/>
  <c r="C10" i="36"/>
  <c r="C8" i="36"/>
  <c r="C6" i="36"/>
  <c r="B7" i="35"/>
  <c r="B8" i="35"/>
  <c r="B9" i="35"/>
  <c r="B10" i="35"/>
  <c r="B11" i="35"/>
  <c r="B12" i="35"/>
  <c r="B13" i="35"/>
  <c r="B14" i="35"/>
  <c r="B15" i="35"/>
  <c r="B6" i="35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2" i="34"/>
  <c r="E2" i="33"/>
  <c r="E3" i="33"/>
  <c r="E4" i="33"/>
  <c r="E5" i="33"/>
  <c r="E6" i="33"/>
  <c r="E7" i="33"/>
  <c r="E8" i="33"/>
  <c r="E9" i="33"/>
  <c r="E10" i="33"/>
  <c r="E11" i="33"/>
  <c r="X3" i="31" a="1"/>
  <c r="X3" i="31" s="1"/>
  <c r="O1" i="31" a="1"/>
  <c r="O1" i="31" s="1"/>
  <c r="M1" i="31" a="1"/>
  <c r="M1" i="31" s="1"/>
  <c r="J1" i="31" a="1"/>
  <c r="J1" i="31" s="1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2" i="28"/>
  <c r="O3" i="31" s="1" a="1"/>
  <c r="O3" i="31" s="1"/>
  <c r="L3" i="27"/>
  <c r="L4" i="27"/>
  <c r="L5" i="27"/>
  <c r="L6" i="27"/>
  <c r="L7" i="27"/>
  <c r="L8" i="27"/>
  <c r="L9" i="27"/>
  <c r="L10" i="27"/>
  <c r="L11" i="27"/>
  <c r="L12" i="27"/>
  <c r="L13" i="27"/>
  <c r="L2" i="27"/>
  <c r="K3" i="27"/>
  <c r="K4" i="27"/>
  <c r="K5" i="27"/>
  <c r="K6" i="27"/>
  <c r="K7" i="27"/>
  <c r="K8" i="27"/>
  <c r="K9" i="27"/>
  <c r="K10" i="27"/>
  <c r="K11" i="27"/>
  <c r="K12" i="27"/>
  <c r="K13" i="27"/>
  <c r="K2" i="27"/>
  <c r="J3" i="27"/>
  <c r="J4" i="27"/>
  <c r="J5" i="27"/>
  <c r="J6" i="27"/>
  <c r="J7" i="27"/>
  <c r="J8" i="27"/>
  <c r="J9" i="27"/>
  <c r="J10" i="27"/>
  <c r="J11" i="27"/>
  <c r="J12" i="27"/>
  <c r="J13" i="27"/>
  <c r="J2" i="27"/>
  <c r="F2" i="26"/>
  <c r="G15" i="26"/>
  <c r="G16" i="26"/>
  <c r="G17" i="26"/>
  <c r="G18" i="26"/>
  <c r="G19" i="26"/>
  <c r="G14" i="26"/>
  <c r="F3" i="26"/>
  <c r="F4" i="26"/>
  <c r="F5" i="26"/>
  <c r="F6" i="26"/>
  <c r="F7" i="26"/>
  <c r="F8" i="26"/>
  <c r="F9" i="26"/>
  <c r="F10" i="26"/>
  <c r="F11" i="26"/>
  <c r="F12" i="26"/>
  <c r="F13" i="26"/>
  <c r="G13" i="26" s="1"/>
  <c r="F14" i="26"/>
  <c r="F15" i="26"/>
  <c r="F16" i="26"/>
  <c r="F17" i="26"/>
  <c r="F18" i="26"/>
  <c r="F19" i="26"/>
  <c r="G2" i="26"/>
  <c r="G3" i="26"/>
  <c r="G4" i="26"/>
  <c r="G5" i="26"/>
  <c r="G6" i="26"/>
  <c r="G7" i="26"/>
  <c r="G8" i="26"/>
  <c r="G9" i="26"/>
  <c r="G10" i="26"/>
  <c r="G11" i="26"/>
  <c r="G12" i="26"/>
  <c r="H3" i="25"/>
  <c r="H4" i="25"/>
  <c r="H5" i="25"/>
  <c r="H6" i="25"/>
  <c r="H7" i="25"/>
  <c r="H8" i="25"/>
  <c r="H9" i="25"/>
  <c r="H10" i="25"/>
  <c r="H11" i="25"/>
  <c r="H12" i="25"/>
  <c r="H13" i="25"/>
  <c r="H2" i="25"/>
  <c r="G3" i="25"/>
  <c r="G4" i="25"/>
  <c r="G5" i="25"/>
  <c r="G6" i="25"/>
  <c r="G7" i="25"/>
  <c r="G8" i="25"/>
  <c r="G9" i="25"/>
  <c r="G10" i="25"/>
  <c r="G11" i="25"/>
  <c r="G12" i="25"/>
  <c r="G13" i="25"/>
  <c r="G2" i="25"/>
  <c r="H1" i="25"/>
  <c r="G1" i="25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2" i="18"/>
  <c r="G4" i="16"/>
  <c r="N6" i="15"/>
  <c r="Q6" i="14"/>
  <c r="Q3" i="14"/>
  <c r="Q5" i="14"/>
  <c r="Q4" i="14"/>
  <c r="P3" i="3"/>
  <c r="P4" i="3"/>
  <c r="P5" i="3"/>
  <c r="P6" i="3"/>
  <c r="P7" i="3"/>
  <c r="P8" i="3"/>
  <c r="F3" i="3"/>
  <c r="F4" i="3" s="1"/>
  <c r="F5" i="3" s="1"/>
  <c r="F6" i="3" s="1"/>
  <c r="F7" i="3" s="1"/>
  <c r="F8" i="3" s="1"/>
  <c r="F2" i="3"/>
  <c r="A1" i="31" l="1" a="1"/>
  <c r="A1" i="31" s="1"/>
  <c r="I2" i="2"/>
  <c r="J2" i="2"/>
  <c r="K2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C2" i="2"/>
  <c r="D2" i="2"/>
  <c r="E2" i="2"/>
  <c r="F2" i="2"/>
  <c r="G2" i="2"/>
  <c r="H2" i="2"/>
  <c r="C3" i="2"/>
  <c r="D3" i="2"/>
  <c r="E3" i="2"/>
  <c r="F3" i="2"/>
  <c r="G3" i="2"/>
  <c r="H3" i="2"/>
  <c r="C4" i="2"/>
  <c r="D4" i="2"/>
  <c r="E4" i="2"/>
  <c r="F4" i="2"/>
  <c r="G4" i="2"/>
  <c r="H4" i="2"/>
  <c r="C5" i="2"/>
  <c r="D5" i="2"/>
  <c r="E5" i="2"/>
  <c r="F5" i="2"/>
  <c r="G5" i="2"/>
  <c r="H5" i="2"/>
  <c r="C6" i="2"/>
  <c r="D6" i="2"/>
  <c r="E6" i="2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C9" i="2"/>
  <c r="D9" i="2"/>
  <c r="E9" i="2"/>
  <c r="F9" i="2"/>
  <c r="G9" i="2"/>
  <c r="H9" i="2"/>
  <c r="C10" i="2"/>
  <c r="D10" i="2"/>
  <c r="E10" i="2"/>
  <c r="F10" i="2"/>
  <c r="G10" i="2"/>
  <c r="H10" i="2"/>
  <c r="C11" i="2"/>
  <c r="D11" i="2"/>
  <c r="E11" i="2"/>
  <c r="F11" i="2"/>
  <c r="G11" i="2"/>
  <c r="H11" i="2"/>
  <c r="B3" i="2"/>
  <c r="B4" i="2"/>
  <c r="B5" i="2"/>
  <c r="B6" i="2"/>
  <c r="B7" i="2"/>
  <c r="B8" i="2"/>
  <c r="B9" i="2"/>
  <c r="B10" i="2"/>
  <c r="B11" i="2"/>
  <c r="B2" i="2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<sst xmlns="http://schemas.openxmlformats.org/spreadsheetml/2006/main" count="2381" uniqueCount="415">
  <si>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</si>
  <si>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</si>
  <si>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</si>
  <si>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</si>
  <si>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</si>
  <si>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</si>
  <si>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</si>
  <si>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</si>
  <si>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</si>
  <si>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</si>
  <si>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Product</t>
  </si>
  <si>
    <t>Price</t>
  </si>
  <si>
    <t>Units</t>
  </si>
  <si>
    <t>Total</t>
  </si>
  <si>
    <t>TAX</t>
  </si>
  <si>
    <t>Tax</t>
  </si>
  <si>
    <t>Values</t>
  </si>
  <si>
    <t>Bins</t>
  </si>
  <si>
    <t>More</t>
  </si>
  <si>
    <t>Frequency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</si>
  <si>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</si>
  <si>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</si>
  <si>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</si>
  <si>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</si>
  <si>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</si>
  <si>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</si>
  <si>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</si>
  <si>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</si>
  <si>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</si>
  <si>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</si>
  <si>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</si>
  <si>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</si>
  <si>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</si>
  <si>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VIYYX</t>
  </si>
  <si>
    <t>VIOSB</t>
  </si>
  <si>
    <t>QKUQM</t>
  </si>
  <si>
    <t>IYWGS</t>
  </si>
  <si>
    <t>HMQMS</t>
  </si>
  <si>
    <t>IGFQZ</t>
  </si>
  <si>
    <t>PDFRD</t>
  </si>
  <si>
    <t>MUCYW</t>
  </si>
  <si>
    <t>QIMWW</t>
  </si>
  <si>
    <t>FMLIN</t>
  </si>
  <si>
    <t>TZAFF</t>
  </si>
  <si>
    <t>PVBIH</t>
  </si>
  <si>
    <t>XBQCS</t>
  </si>
  <si>
    <t>WEZEM</t>
  </si>
  <si>
    <t>LSMVD</t>
  </si>
  <si>
    <t>XDIXP</t>
  </si>
  <si>
    <t>TNSDR</t>
  </si>
  <si>
    <t>JAVQB</t>
  </si>
  <si>
    <t>IANQU</t>
  </si>
  <si>
    <t>JAXVN</t>
  </si>
  <si>
    <t>QYJRF</t>
  </si>
  <si>
    <t>OAHYM</t>
  </si>
  <si>
    <t>ASWSD</t>
  </si>
  <si>
    <t>ELDJW</t>
  </si>
  <si>
    <t>DTFDG</t>
  </si>
  <si>
    <t>GXPTI</t>
  </si>
  <si>
    <t>CMFDJ</t>
  </si>
  <si>
    <t>DWMHQ</t>
  </si>
  <si>
    <t>ZZPBZ</t>
  </si>
  <si>
    <t>EXVRO</t>
  </si>
  <si>
    <t>BVYNS</t>
  </si>
  <si>
    <t>WPWFB</t>
  </si>
  <si>
    <t>LJQIG</t>
  </si>
  <si>
    <t>PZMCN</t>
  </si>
  <si>
    <t>BIOJT</t>
  </si>
  <si>
    <t>RHEZO</t>
  </si>
  <si>
    <t>BAMPP</t>
  </si>
  <si>
    <t>WUQVJ</t>
  </si>
  <si>
    <t>XDHQJ</t>
  </si>
  <si>
    <t>XIWOF</t>
  </si>
  <si>
    <t>GEPND</t>
  </si>
  <si>
    <t>HEHDN</t>
  </si>
  <si>
    <t>UQDHG</t>
  </si>
  <si>
    <t>TOSEW</t>
  </si>
  <si>
    <t>OJPHC</t>
  </si>
  <si>
    <t>BUMMP</t>
  </si>
  <si>
    <t>KMROI</t>
  </si>
  <si>
    <t>ZYZSP</t>
  </si>
  <si>
    <t>SIXMX</t>
  </si>
  <si>
    <t>ZMAZE</t>
  </si>
  <si>
    <t>GCRST</t>
  </si>
  <si>
    <t>WZOCP</t>
  </si>
  <si>
    <t>HPUZW</t>
  </si>
  <si>
    <t>MZITI</t>
  </si>
  <si>
    <t>IAPMJ</t>
  </si>
  <si>
    <t>IBVXK</t>
  </si>
  <si>
    <t>ZZPJB</t>
  </si>
  <si>
    <t>RSPAX</t>
  </si>
  <si>
    <t>OSLEU</t>
  </si>
  <si>
    <t>IKTBT</t>
  </si>
  <si>
    <t>PTMRP</t>
  </si>
  <si>
    <t>PONOR</t>
  </si>
  <si>
    <t>CDNOO</t>
  </si>
  <si>
    <t>JQUWX</t>
  </si>
  <si>
    <t>MNBGT</t>
  </si>
  <si>
    <t>BDKAN</t>
  </si>
  <si>
    <t>IUSHU</t>
  </si>
  <si>
    <t>NXELJ</t>
  </si>
  <si>
    <t>HTPUJ</t>
  </si>
  <si>
    <t>WDNCG</t>
  </si>
  <si>
    <t>EGRHM</t>
  </si>
  <si>
    <t>XIPDZ</t>
  </si>
  <si>
    <t>QOQQK</t>
  </si>
  <si>
    <t>ZOWKD</t>
  </si>
  <si>
    <t>ZPSHW</t>
  </si>
  <si>
    <t>ITVVK</t>
  </si>
  <si>
    <t>MSUDE</t>
  </si>
  <si>
    <t>PYUKX</t>
  </si>
  <si>
    <t>ZMAVW</t>
  </si>
  <si>
    <t>AQXCD</t>
  </si>
  <si>
    <t>DNPHL</t>
  </si>
  <si>
    <t>UWSDK</t>
  </si>
  <si>
    <t>KKQUR</t>
  </si>
  <si>
    <t>VDKPQ</t>
  </si>
  <si>
    <t>IVNBG</t>
  </si>
  <si>
    <t>LLGLM</t>
  </si>
  <si>
    <t>EEHOK</t>
  </si>
  <si>
    <t>PZUJV</t>
  </si>
  <si>
    <t>YCKCX</t>
  </si>
  <si>
    <t>EGCJQ</t>
  </si>
  <si>
    <t>SFPGH</t>
  </si>
  <si>
    <t>ZRVML</t>
  </si>
  <si>
    <t>THADA</t>
  </si>
  <si>
    <t>YSNOS</t>
  </si>
  <si>
    <t>GFQUM</t>
  </si>
  <si>
    <t>MOZGZ</t>
  </si>
  <si>
    <t>KZYAR</t>
  </si>
  <si>
    <t>ZMQTG</t>
  </si>
  <si>
    <t>GZJVM</t>
  </si>
  <si>
    <t>MODMN</t>
  </si>
  <si>
    <t>YOHNB</t>
  </si>
  <si>
    <t>CYDTB</t>
  </si>
  <si>
    <t>LJQTZ</t>
  </si>
  <si>
    <t>CTMNI</t>
  </si>
  <si>
    <t>FDMEB</t>
  </si>
  <si>
    <t>BHYTY</t>
  </si>
  <si>
    <t>TGPWK</t>
  </si>
  <si>
    <t>OSGGA</t>
  </si>
  <si>
    <t>LILHR</t>
  </si>
  <si>
    <t>FWJUW</t>
  </si>
  <si>
    <t>TRJZE</t>
  </si>
  <si>
    <t>QCWQL</t>
  </si>
  <si>
    <t>ZCFLJ</t>
  </si>
  <si>
    <t>WFENQ</t>
  </si>
  <si>
    <t>FYOHY</t>
  </si>
  <si>
    <t>CUKAX</t>
  </si>
  <si>
    <t>NVWLU</t>
  </si>
  <si>
    <t>XBJAM</t>
  </si>
  <si>
    <t>JEYPQ</t>
  </si>
  <si>
    <t>TWKNW</t>
  </si>
  <si>
    <t>SYBTL</t>
  </si>
  <si>
    <t>UAWQH</t>
  </si>
  <si>
    <t>XMJZU</t>
  </si>
  <si>
    <t>GOAGS</t>
  </si>
  <si>
    <t>HCQOW</t>
  </si>
  <si>
    <t>RXXKC</t>
  </si>
  <si>
    <t>RBGAC</t>
  </si>
  <si>
    <t>NRDAX</t>
  </si>
  <si>
    <t>UDFAU</t>
  </si>
  <si>
    <t>DFLPP</t>
  </si>
  <si>
    <t>YFNMR</t>
  </si>
  <si>
    <t>NMUZQ</t>
  </si>
  <si>
    <t>KSRNH</t>
  </si>
  <si>
    <t>SLIZA</t>
  </si>
  <si>
    <t>CLZWA</t>
  </si>
  <si>
    <t>VKRXC</t>
  </si>
  <si>
    <t>JIFPI</t>
  </si>
  <si>
    <t>GARNS</t>
  </si>
  <si>
    <t>SOKXE</t>
  </si>
  <si>
    <t>PKPRN</t>
  </si>
  <si>
    <t>TPDZP</t>
  </si>
  <si>
    <t>UIAHS</t>
  </si>
  <si>
    <t>WSYGP</t>
  </si>
  <si>
    <t>OAHUL</t>
  </si>
  <si>
    <t>ZRTTT</t>
  </si>
  <si>
    <t>FYLRS</t>
  </si>
  <si>
    <t>JMQNZ</t>
  </si>
  <si>
    <t>VNQNZ</t>
  </si>
  <si>
    <t>TXXGX</t>
  </si>
  <si>
    <t>TADRM</t>
  </si>
  <si>
    <t>JYPVT</t>
  </si>
  <si>
    <t>RAKPC</t>
  </si>
  <si>
    <t>EUOMU</t>
  </si>
  <si>
    <t>IHEOE</t>
  </si>
  <si>
    <t>KDHQJ</t>
  </si>
  <si>
    <t>SVFVH</t>
  </si>
  <si>
    <t>Score</t>
  </si>
  <si>
    <t>Performance</t>
  </si>
  <si>
    <t>Emp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</si>
  <si>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</si>
  <si>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</si>
  <si>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</si>
  <si>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</si>
  <si>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</si>
  <si>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</si>
  <si>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</si>
  <si>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</si>
  <si>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</si>
  <si>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</si>
  <si>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</si>
  <si>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</si>
  <si>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</si>
  <si>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</si>
  <si>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</si>
  <si>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</si>
  <si>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High Threshold</t>
  </si>
  <si>
    <t>Low Threshold</t>
  </si>
  <si>
    <t>=B2&gt;=$H$2</t>
  </si>
  <si>
    <t>=B2&lt;=$H$7</t>
  </si>
  <si>
    <t>SQL</t>
  </si>
  <si>
    <t>Excel</t>
  </si>
  <si>
    <t>Power BI</t>
  </si>
  <si>
    <t>Python</t>
  </si>
  <si>
    <t>Pandas</t>
  </si>
  <si>
    <t>Date</t>
  </si>
  <si>
    <t>Sales</t>
  </si>
  <si>
    <t>Target Sales</t>
  </si>
  <si>
    <t>Region</t>
  </si>
  <si>
    <t>Agent</t>
  </si>
  <si>
    <t>Amount</t>
  </si>
  <si>
    <t>South</t>
  </si>
  <si>
    <t>A2</t>
  </si>
  <si>
    <t>East</t>
  </si>
  <si>
    <t>A1</t>
  </si>
  <si>
    <t>North</t>
  </si>
  <si>
    <t>Region:</t>
  </si>
  <si>
    <t>A3</t>
  </si>
  <si>
    <t>A4</t>
  </si>
  <si>
    <t>Target</t>
  </si>
  <si>
    <t>Status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</si>
  <si>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</si>
  <si>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</si>
  <si>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</si>
  <si>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</si>
  <si>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</si>
  <si>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</si>
  <si>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</si>
  <si>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</si>
  <si>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</si>
  <si>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</si>
  <si>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Status:</t>
  </si>
  <si>
    <t>Completed</t>
  </si>
  <si>
    <t>No</t>
  </si>
  <si>
    <t>Yes</t>
  </si>
  <si>
    <t>Unknown</t>
  </si>
  <si>
    <t>Course</t>
  </si>
  <si>
    <t>Duration</t>
  </si>
  <si>
    <t>Fee</t>
  </si>
  <si>
    <t>Course ID</t>
  </si>
  <si>
    <t>Name</t>
  </si>
  <si>
    <t>Anand</t>
  </si>
  <si>
    <t>Sunder</t>
  </si>
  <si>
    <t>Kiran</t>
  </si>
  <si>
    <t>Prasad</t>
  </si>
  <si>
    <t>Naveen</t>
  </si>
  <si>
    <t>Mahesh</t>
  </si>
  <si>
    <t>Narsing</t>
  </si>
  <si>
    <t>Kranthi</t>
  </si>
  <si>
    <t>Vivek</t>
  </si>
  <si>
    <t>Venkat</t>
  </si>
  <si>
    <t>R1</t>
  </si>
  <si>
    <t>R2</t>
  </si>
  <si>
    <t>R3</t>
  </si>
  <si>
    <t>R4</t>
  </si>
  <si>
    <t>R5</t>
  </si>
  <si>
    <t>R6</t>
  </si>
  <si>
    <t>R7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</si>
  <si>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</si>
  <si>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</si>
  <si>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</si>
  <si>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</si>
  <si>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</si>
  <si>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</si>
  <si>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</si>
  <si>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</si>
  <si>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</si>
  <si>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</si>
  <si>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</si>
  <si>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</si>
  <si>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</si>
  <si>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Forecast</t>
  </si>
  <si>
    <t>Yr. 2022</t>
  </si>
  <si>
    <t>Yr. 2023</t>
  </si>
  <si>
    <t>Yr. 2024</t>
  </si>
  <si>
    <t>Profit</t>
  </si>
  <si>
    <t>Kalyan</t>
  </si>
  <si>
    <t>Shahid</t>
  </si>
  <si>
    <t>Central</t>
  </si>
  <si>
    <t>Aravind</t>
  </si>
  <si>
    <t>Pavan</t>
  </si>
  <si>
    <t>West</t>
  </si>
  <si>
    <t>Row Labels</t>
  </si>
  <si>
    <t>Grand Total</t>
  </si>
  <si>
    <t>Sum of Sales</t>
  </si>
  <si>
    <t>Column Labels</t>
  </si>
  <si>
    <t>Sravan</t>
  </si>
  <si>
    <t>Uday</t>
  </si>
  <si>
    <t>Sandeep</t>
  </si>
  <si>
    <t>Suresh</t>
  </si>
  <si>
    <t>Dept</t>
  </si>
  <si>
    <t>D2</t>
  </si>
  <si>
    <t>D1</t>
  </si>
  <si>
    <t>D3</t>
  </si>
  <si>
    <t>Salary</t>
  </si>
  <si>
    <t>DID</t>
  </si>
  <si>
    <t>City</t>
  </si>
  <si>
    <t>Hyd</t>
  </si>
  <si>
    <t>Amr</t>
  </si>
  <si>
    <t>Del</t>
  </si>
  <si>
    <t>Che</t>
  </si>
  <si>
    <t>Mum</t>
  </si>
  <si>
    <t>Blr</t>
  </si>
  <si>
    <t>Tri</t>
  </si>
  <si>
    <t>Kol</t>
  </si>
  <si>
    <t>ID</t>
  </si>
  <si>
    <t>Human Resource</t>
  </si>
  <si>
    <t>Internal Logistics</t>
  </si>
  <si>
    <t>Sales and Marketing</t>
  </si>
  <si>
    <t>Transformative Table</t>
  </si>
  <si>
    <t>lookup_value</t>
  </si>
  <si>
    <t>column_index = 2</t>
  </si>
  <si>
    <t>table_array</t>
  </si>
  <si>
    <t>D4</t>
  </si>
  <si>
    <t>Praveen</t>
  </si>
  <si>
    <t>Arun</t>
  </si>
  <si>
    <t>Srinivas</t>
  </si>
  <si>
    <t>Edwin</t>
  </si>
  <si>
    <t>Subject</t>
  </si>
  <si>
    <t>Math</t>
  </si>
  <si>
    <t>Science</t>
  </si>
  <si>
    <t>Economics</t>
  </si>
  <si>
    <t>Marks</t>
  </si>
  <si>
    <t>Intervals</t>
  </si>
  <si>
    <t>1 to 49</t>
  </si>
  <si>
    <t>Grade</t>
  </si>
  <si>
    <t>Fail</t>
  </si>
  <si>
    <t>50 to 59</t>
  </si>
  <si>
    <t>E</t>
  </si>
  <si>
    <t>60 to 69</t>
  </si>
  <si>
    <t>D</t>
  </si>
  <si>
    <t>70 to 79</t>
  </si>
  <si>
    <t>C</t>
  </si>
  <si>
    <t>80 to 89</t>
  </si>
  <si>
    <t>90 to 100</t>
  </si>
  <si>
    <t>A</t>
  </si>
  <si>
    <t>B</t>
  </si>
  <si>
    <t>Category</t>
  </si>
  <si>
    <t>Worst</t>
  </si>
  <si>
    <t>Below Average</t>
  </si>
  <si>
    <t>Average</t>
  </si>
  <si>
    <t>Above Average</t>
  </si>
  <si>
    <t>Excellent</t>
  </si>
  <si>
    <t>Comments</t>
  </si>
  <si>
    <t>Expel</t>
  </si>
  <si>
    <t>Warn</t>
  </si>
  <si>
    <t>Counsel</t>
  </si>
  <si>
    <t>Appreciate</t>
  </si>
  <si>
    <t>Reward</t>
  </si>
  <si>
    <t>Rating</t>
  </si>
  <si>
    <t>Bpl</t>
  </si>
  <si>
    <t>Ahm</t>
  </si>
  <si>
    <t>Sri</t>
  </si>
  <si>
    <t>Pune</t>
  </si>
  <si>
    <t>Rch</t>
  </si>
  <si>
    <t>Interval</t>
  </si>
  <si>
    <t>100 to 70</t>
  </si>
  <si>
    <t>Opportunity</t>
  </si>
  <si>
    <t>Grant</t>
  </si>
  <si>
    <t>No grant</t>
  </si>
  <si>
    <t>69 to 50</t>
  </si>
  <si>
    <t>49 to 0</t>
  </si>
  <si>
    <t>Rejection</t>
  </si>
  <si>
    <t>Comment</t>
  </si>
  <si>
    <t>We want to give more opportunities</t>
  </si>
  <si>
    <t>You need to strive hard</t>
  </si>
  <si>
    <t>You don't meet our criteria</t>
  </si>
  <si>
    <t>Grant Status</t>
  </si>
  <si>
    <t>=SUMIFS(sum_range,criteria_range1, criteria1, criteria_range2, criteria2, criteria_range3, criteria3, …)</t>
  </si>
  <si>
    <t>=SUMIF(RANGE,  CRITERIA, SUM_RANGE)</t>
  </si>
  <si>
    <t>Puli</t>
  </si>
  <si>
    <t>Phani</t>
  </si>
  <si>
    <t>Ramya</t>
  </si>
  <si>
    <t>Niharika</t>
  </si>
  <si>
    <t>Srilekha</t>
  </si>
  <si>
    <t>Pushpa</t>
  </si>
  <si>
    <t>Quarter1</t>
  </si>
  <si>
    <t>Quarter2</t>
  </si>
  <si>
    <t>Quarter3</t>
  </si>
  <si>
    <t>Quarter4</t>
  </si>
  <si>
    <t>=COUNTIF(range, criteria)</t>
  </si>
  <si>
    <t>=COUNTIFS(criteria_range1, criteria1, criteria_range2, criteria2, criteria_range3, criteria3, …)</t>
  </si>
  <si>
    <t>&gt;=20000</t>
  </si>
  <si>
    <t>&lt;20000</t>
  </si>
  <si>
    <t xml:space="preserve"> </t>
  </si>
  <si>
    <t>Aravind Illu</t>
  </si>
  <si>
    <t>Pavan Kalyan</t>
  </si>
  <si>
    <t>Sai Pavan</t>
  </si>
  <si>
    <t>Srilekha Varma</t>
  </si>
  <si>
    <t>Pushpa Bhavani</t>
  </si>
  <si>
    <t>Puli Shiva</t>
  </si>
  <si>
    <t>Phanindra Chowdhary</t>
  </si>
  <si>
    <t>Niharika Kusa</t>
  </si>
  <si>
    <t>First Name</t>
  </si>
  <si>
    <t>Last Name</t>
  </si>
  <si>
    <t>Illu</t>
  </si>
  <si>
    <t>Sai</t>
  </si>
  <si>
    <t>Varma</t>
  </si>
  <si>
    <t>Bhavani</t>
  </si>
  <si>
    <t>Shiva</t>
  </si>
  <si>
    <t>Phanindra</t>
  </si>
  <si>
    <t>Chowdhary</t>
  </si>
  <si>
    <t>Kusa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</si>
</sst>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9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0" borderId="0" xfId="0" quotePrefix="1"/>
    <xf numFmtId="14" fontId="0" fillId="0" borderId="0" xfId="0" applyNumberFormat="1"/>
    <xf numFmtId="0" fontId="4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21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7"/>
        </patternFill>
      </fill>
    </dxf>
    <dxf>
      <font>
        <b/>
        <i val="0"/>
        <color theme="6"/>
      </font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Sheet4!$A$2:$A$5</c:f>
              <c:strCache>
                <c:ptCount val="4"/>
                <c:pt idx="0">
                  <c:v>3</c:v>
                </c:pt>
                <c:pt idx="1">
                  <c:v>6</c:v>
                </c:pt>
                <c:pt idx="2">
                  <c:v>10</c:v>
                </c:pt>
                <c:pt idx="3">
                  <c:v>More</c:v>
                </c:pt>
              </c:strCache>
            </c:strRef>
          </c:cat>
          <c:val>
            <c:numRef>
              <c:f>Sheet4!$B$2:$B$5</c:f>
              <c:numCache>
                <c:formatCode>General</c:formatCode>
                <c:ptCount val="4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E-49B3-8AC3-AE9581A1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775"/>
        <c:axId val="1742255"/>
      </c:barChart>
      <c:catAx>
        <c:axId val="1741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2255"/>
        <c:crosses val="autoZero"/>
        <c:auto val="1"/>
        <c:lblAlgn val="ctr"/>
        <c:lblOffset val="100"/>
        <c:noMultiLvlLbl val="0"/>
      </c:catAx>
      <c:valAx>
        <c:axId val="1742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1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Sheet3!$A$2:$A$9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F-40F1-A4F0-1805B62C5B7D}"/>
            </c:ext>
          </c:extLst>
        </c:ser>
        <c:ser>
          <c:idx val="1"/>
          <c:order val="1"/>
          <c:tx>
            <c:v>Forecast</c:v>
          </c:tx>
          <c:val>
            <c:numRef>
              <c:f>Sheet3!$F$1:$F$8</c:f>
              <c:numCache>
                <c:formatCode>General</c:formatCode>
                <c:ptCount val="8"/>
                <c:pt idx="0">
                  <c:v>#N/A</c:v>
                </c:pt>
                <c:pt idx="1">
                  <c:v>5</c:v>
                </c:pt>
                <c:pt idx="2">
                  <c:v>5.6999999999999993</c:v>
                </c:pt>
                <c:pt idx="3">
                  <c:v>8.01</c:v>
                </c:pt>
                <c:pt idx="4">
                  <c:v>5.2029999999999994</c:v>
                </c:pt>
                <c:pt idx="5">
                  <c:v>4.3608999999999991</c:v>
                </c:pt>
                <c:pt idx="6">
                  <c:v>4.8082699999999994</c:v>
                </c:pt>
                <c:pt idx="7">
                  <c:v>4.9424809999999999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4F-40F1-A4F0-1805B62C5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55"/>
        <c:axId val="1738895"/>
      </c:lineChart>
      <c:catAx>
        <c:axId val="1737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38895"/>
        <c:crosses val="autoZero"/>
        <c:auto val="1"/>
        <c:lblAlgn val="ctr"/>
        <c:lblOffset val="100"/>
        <c:noMultiLvlLbl val="0"/>
      </c:catAx>
      <c:valAx>
        <c:axId val="17388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74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Sheet3!$A$2:$A$9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E-4354-8E28-EA03AB4E9E66}"/>
            </c:ext>
          </c:extLst>
        </c:ser>
        <c:ser>
          <c:idx val="1"/>
          <c:order val="1"/>
          <c:tx>
            <c:v>Forecast</c:v>
          </c:tx>
          <c:val>
            <c:numRef>
              <c:f>Sheet3!$P$1:$P$8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6.666666666666667</c:v>
                </c:pt>
                <c:pt idx="3">
                  <c:v>6.333333333333333</c:v>
                </c:pt>
                <c:pt idx="4">
                  <c:v>5.666666666666667</c:v>
                </c:pt>
                <c:pt idx="5">
                  <c:v>4.333333333333333</c:v>
                </c:pt>
                <c:pt idx="6">
                  <c:v>4.666666666666667</c:v>
                </c:pt>
                <c:pt idx="7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E-4354-8E28-EA03AB4E9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375"/>
        <c:axId val="1715855"/>
      </c:lineChart>
      <c:catAx>
        <c:axId val="1715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715855"/>
        <c:crosses val="autoZero"/>
        <c:auto val="1"/>
        <c:lblAlgn val="ctr"/>
        <c:lblOffset val="100"/>
        <c:noMultiLvlLbl val="0"/>
      </c:catAx>
      <c:valAx>
        <c:axId val="1715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53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Sheet22!$B$1</c:f>
          <c:strCache>
            <c:ptCount val="1"/>
            <c:pt idx="0">
              <c:v>Target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Sheet22!$C$1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Sheet22!$A$2:$A$11</c:f>
              <c:strCache>
                <c:ptCount val="10"/>
                <c:pt idx="0">
                  <c:v>Anand</c:v>
                </c:pt>
                <c:pt idx="1">
                  <c:v>Sunder</c:v>
                </c:pt>
                <c:pt idx="2">
                  <c:v>Kiran</c:v>
                </c:pt>
                <c:pt idx="3">
                  <c:v>Prasad</c:v>
                </c:pt>
                <c:pt idx="4">
                  <c:v>Naveen</c:v>
                </c:pt>
                <c:pt idx="5">
                  <c:v>Mahesh</c:v>
                </c:pt>
                <c:pt idx="6">
                  <c:v>Narsing</c:v>
                </c:pt>
                <c:pt idx="7">
                  <c:v>Kranthi</c:v>
                </c:pt>
                <c:pt idx="8">
                  <c:v>Vivek</c:v>
                </c:pt>
                <c:pt idx="9">
                  <c:v>Venkat</c:v>
                </c:pt>
              </c:strCache>
            </c:strRef>
          </c:cat>
          <c:val>
            <c:numRef>
              <c:f>Sheet22!$C$2:$C$11</c:f>
              <c:numCache>
                <c:formatCode>General</c:formatCode>
                <c:ptCount val="10"/>
                <c:pt idx="0">
                  <c:v>155</c:v>
                </c:pt>
                <c:pt idx="1">
                  <c:v>194</c:v>
                </c:pt>
                <c:pt idx="2">
                  <c:v>112</c:v>
                </c:pt>
                <c:pt idx="3">
                  <c:v>145</c:v>
                </c:pt>
                <c:pt idx="4">
                  <c:v>128</c:v>
                </c:pt>
                <c:pt idx="5">
                  <c:v>184</c:v>
                </c:pt>
                <c:pt idx="6">
                  <c:v>167</c:v>
                </c:pt>
                <c:pt idx="7">
                  <c:v>114</c:v>
                </c:pt>
                <c:pt idx="8">
                  <c:v>196</c:v>
                </c:pt>
                <c:pt idx="9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E-41A2-8195-B9BE67D92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75072"/>
        <c:axId val="170776032"/>
      </c:barChart>
      <c:lineChart>
        <c:grouping val="standard"/>
        <c:varyColors val="0"/>
        <c:ser>
          <c:idx val="0"/>
          <c:order val="0"/>
          <c:tx>
            <c:strRef>
              <c:f>Sheet22!$B$1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Sheet22!$A$2:$A$11</c:f>
              <c:strCache>
                <c:ptCount val="10"/>
                <c:pt idx="0">
                  <c:v>Anand</c:v>
                </c:pt>
                <c:pt idx="1">
                  <c:v>Sunder</c:v>
                </c:pt>
                <c:pt idx="2">
                  <c:v>Kiran</c:v>
                </c:pt>
                <c:pt idx="3">
                  <c:v>Prasad</c:v>
                </c:pt>
                <c:pt idx="4">
                  <c:v>Naveen</c:v>
                </c:pt>
                <c:pt idx="5">
                  <c:v>Mahesh</c:v>
                </c:pt>
                <c:pt idx="6">
                  <c:v>Narsing</c:v>
                </c:pt>
                <c:pt idx="7">
                  <c:v>Kranthi</c:v>
                </c:pt>
                <c:pt idx="8">
                  <c:v>Vivek</c:v>
                </c:pt>
                <c:pt idx="9">
                  <c:v>Venkat</c:v>
                </c:pt>
              </c:strCache>
            </c:strRef>
          </c:cat>
          <c:val>
            <c:numRef>
              <c:f>Sheet22!$B$2:$B$11</c:f>
              <c:numCache>
                <c:formatCode>General</c:formatCode>
                <c:ptCount val="10"/>
                <c:pt idx="0">
                  <c:v>153</c:v>
                </c:pt>
                <c:pt idx="1">
                  <c:v>102</c:v>
                </c:pt>
                <c:pt idx="2">
                  <c:v>104</c:v>
                </c:pt>
                <c:pt idx="3">
                  <c:v>197</c:v>
                </c:pt>
                <c:pt idx="4">
                  <c:v>127</c:v>
                </c:pt>
                <c:pt idx="5">
                  <c:v>189</c:v>
                </c:pt>
                <c:pt idx="6">
                  <c:v>168</c:v>
                </c:pt>
                <c:pt idx="7">
                  <c:v>134</c:v>
                </c:pt>
                <c:pt idx="8">
                  <c:v>148</c:v>
                </c:pt>
                <c:pt idx="9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E-41A2-8195-B9BE67D92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75072"/>
        <c:axId val="170776032"/>
      </c:lineChart>
      <c:catAx>
        <c:axId val="1707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6032"/>
        <c:crosses val="autoZero"/>
        <c:auto val="1"/>
        <c:lblAlgn val="ctr"/>
        <c:lblOffset val="100"/>
        <c:noMultiLvlLbl val="0"/>
      </c:catAx>
      <c:valAx>
        <c:axId val="1707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Sheet23!$C$1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Sheet23!$A$2:$A$11</c:f>
              <c:strCache>
                <c:ptCount val="10"/>
                <c:pt idx="0">
                  <c:v>Anand</c:v>
                </c:pt>
                <c:pt idx="1">
                  <c:v>Sunder</c:v>
                </c:pt>
                <c:pt idx="2">
                  <c:v>Kiran</c:v>
                </c:pt>
                <c:pt idx="3">
                  <c:v>Prasad</c:v>
                </c:pt>
                <c:pt idx="4">
                  <c:v>Naveen</c:v>
                </c:pt>
                <c:pt idx="5">
                  <c:v>Mahesh</c:v>
                </c:pt>
                <c:pt idx="6">
                  <c:v>Narsing</c:v>
                </c:pt>
                <c:pt idx="7">
                  <c:v>Kranthi</c:v>
                </c:pt>
                <c:pt idx="8">
                  <c:v>Vivek</c:v>
                </c:pt>
                <c:pt idx="9">
                  <c:v>Venkat</c:v>
                </c:pt>
              </c:strCache>
            </c:strRef>
          </c:cat>
          <c:val>
            <c:numRef>
              <c:f>Sheet23!$C$2:$C$11</c:f>
              <c:numCache>
                <c:formatCode>General</c:formatCode>
                <c:ptCount val="10"/>
                <c:pt idx="0">
                  <c:v>155</c:v>
                </c:pt>
                <c:pt idx="1">
                  <c:v>194</c:v>
                </c:pt>
                <c:pt idx="2">
                  <c:v>112</c:v>
                </c:pt>
                <c:pt idx="3">
                  <c:v>145</c:v>
                </c:pt>
                <c:pt idx="4">
                  <c:v>128</c:v>
                </c:pt>
                <c:pt idx="5">
                  <c:v>184</c:v>
                </c:pt>
                <c:pt idx="6">
                  <c:v>167</c:v>
                </c:pt>
                <c:pt idx="7">
                  <c:v>114</c:v>
                </c:pt>
                <c:pt idx="8">
                  <c:v>196</c:v>
                </c:pt>
                <c:pt idx="9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7-424E-BE89-5DE9ECBAB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726592"/>
        <c:axId val="170725632"/>
      </c:barChart>
      <c:barChart>
        <c:barDir val="col"/>
        <c:grouping val="clustered"/>
        <c:varyColors val="0"/>
        <c:ser>
          <c:idx val="0"/>
          <c:order val="0"/>
          <c:tx>
            <c:strRef>
              <c:f>Sheet23!$B$1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tx1">
                <a:lumMod val="50000"/>
                <a:lumOff val="50000"/>
                <a:alpha val="66000"/>
              </a:schemeClr>
            </a:solidFill>
            <a:ln>
              <a:solidFill>
                <a:schemeClr val="tx1">
                  <a:alpha val="16000"/>
                </a:schemeClr>
              </a:solidFill>
            </a:ln>
            <a:effectLst/>
          </c:spPr>
          <c:invertIfNegative val="0"/>
          <c:cat>
            <c:strRef>
              <c:f>Sheet23!$A$2:$A$11</c:f>
              <c:strCache>
                <c:ptCount val="10"/>
                <c:pt idx="0">
                  <c:v>Anand</c:v>
                </c:pt>
                <c:pt idx="1">
                  <c:v>Sunder</c:v>
                </c:pt>
                <c:pt idx="2">
                  <c:v>Kiran</c:v>
                </c:pt>
                <c:pt idx="3">
                  <c:v>Prasad</c:v>
                </c:pt>
                <c:pt idx="4">
                  <c:v>Naveen</c:v>
                </c:pt>
                <c:pt idx="5">
                  <c:v>Mahesh</c:v>
                </c:pt>
                <c:pt idx="6">
                  <c:v>Narsing</c:v>
                </c:pt>
                <c:pt idx="7">
                  <c:v>Kranthi</c:v>
                </c:pt>
                <c:pt idx="8">
                  <c:v>Vivek</c:v>
                </c:pt>
                <c:pt idx="9">
                  <c:v>Venkat</c:v>
                </c:pt>
              </c:strCache>
            </c:strRef>
          </c:cat>
          <c:val>
            <c:numRef>
              <c:f>Sheet23!$B$2:$B$11</c:f>
              <c:numCache>
                <c:formatCode>General</c:formatCode>
                <c:ptCount val="10"/>
                <c:pt idx="0">
                  <c:v>153</c:v>
                </c:pt>
                <c:pt idx="1">
                  <c:v>102</c:v>
                </c:pt>
                <c:pt idx="2">
                  <c:v>104</c:v>
                </c:pt>
                <c:pt idx="3">
                  <c:v>197</c:v>
                </c:pt>
                <c:pt idx="4">
                  <c:v>127</c:v>
                </c:pt>
                <c:pt idx="5">
                  <c:v>189</c:v>
                </c:pt>
                <c:pt idx="6">
                  <c:v>168</c:v>
                </c:pt>
                <c:pt idx="7">
                  <c:v>134</c:v>
                </c:pt>
                <c:pt idx="8">
                  <c:v>148</c:v>
                </c:pt>
                <c:pt idx="9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7-424E-BE89-5DE9ECBAB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overlap val="-27"/>
        <c:axId val="165027968"/>
        <c:axId val="165026528"/>
      </c:barChart>
      <c:catAx>
        <c:axId val="1707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5632"/>
        <c:crosses val="autoZero"/>
        <c:auto val="1"/>
        <c:lblAlgn val="ctr"/>
        <c:lblOffset val="100"/>
        <c:noMultiLvlLbl val="0"/>
      </c:catAx>
      <c:valAx>
        <c:axId val="1707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26592"/>
        <c:crosses val="autoZero"/>
        <c:crossBetween val="between"/>
      </c:valAx>
      <c:valAx>
        <c:axId val="165026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27968"/>
        <c:crosses val="max"/>
        <c:crossBetween val="between"/>
      </c:valAx>
      <c:catAx>
        <c:axId val="165027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5026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Sheet24!$B$1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82-49A4-9B0A-96B234E37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82-49A4-9B0A-96B234E37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82-49A4-9B0A-96B234E374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82-49A4-9B0A-96B234E374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82-49A4-9B0A-96B234E374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82-49A4-9B0A-96B234E374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82-49A4-9B0A-96B234E3744B}"/>
              </c:ext>
            </c:extLst>
          </c:dPt>
          <c:cat>
            <c:strRef>
              <c:f>Sheet24!$A$2:$A$8</c:f>
              <c:strCache>
                <c:ptCount val="7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  <c:pt idx="4">
                  <c:v>R5</c:v>
                </c:pt>
                <c:pt idx="5">
                  <c:v>R6</c:v>
                </c:pt>
                <c:pt idx="6">
                  <c:v>R7</c:v>
                </c:pt>
              </c:strCache>
            </c:strRef>
          </c:cat>
          <c:val>
            <c:numRef>
              <c:f>Sheet24!$B$2:$B$8</c:f>
              <c:numCache>
                <c:formatCode>General</c:formatCode>
                <c:ptCount val="7"/>
                <c:pt idx="0">
                  <c:v>193</c:v>
                </c:pt>
                <c:pt idx="1">
                  <c:v>133</c:v>
                </c:pt>
                <c:pt idx="2">
                  <c:v>101</c:v>
                </c:pt>
                <c:pt idx="3">
                  <c:v>169</c:v>
                </c:pt>
                <c:pt idx="4">
                  <c:v>123</c:v>
                </c:pt>
                <c:pt idx="5">
                  <c:v>160</c:v>
                </c:pt>
                <c:pt idx="6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E-44E5-B1FE-909D7FD0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Sheet25!$H$1</c:f>
          <c:strCache>
            <c:ptCount val="1"/>
            <c:pt idx="0">
              <c:v>Top 1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Sheet25!$G$1</c:f>
              <c:strCache>
                <c:ptCount val="1"/>
                <c:pt idx="0">
                  <c:v>Not Top 1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Sheet25!$F$2:$F$13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Sheet25!$G$2:$G$13</c:f>
              <c:numCache>
                <c:formatCode>General</c:formatCode>
                <c:ptCount val="12"/>
                <c:pt idx="0">
                  <c:v>#N/A</c:v>
                </c:pt>
                <c:pt idx="1">
                  <c:v>66</c:v>
                </c:pt>
                <c:pt idx="2">
                  <c:v>75</c:v>
                </c:pt>
                <c:pt idx="3">
                  <c:v>58</c:v>
                </c:pt>
                <c:pt idx="4">
                  <c:v>60</c:v>
                </c:pt>
                <c:pt idx="5">
                  <c:v>39</c:v>
                </c:pt>
                <c:pt idx="6">
                  <c:v>25</c:v>
                </c:pt>
                <c:pt idx="7">
                  <c:v>52</c:v>
                </c:pt>
                <c:pt idx="8">
                  <c:v>42</c:v>
                </c:pt>
                <c:pt idx="9">
                  <c:v>51</c:v>
                </c:pt>
                <c:pt idx="10">
                  <c:v>24</c:v>
                </c:pt>
                <c:pt idx="1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2-473C-AD56-2DAB3BBCF0DD}"/>
            </c:ext>
          </c:extLst>
        </c:ser>
        <c:ser>
          <c:idx val="1"/>
          <c:order val="1"/>
          <c:tx>
            <c:strRef>
              <c:f>Sheet25!$H$1</c:f>
              <c:strCache>
                <c:ptCount val="1"/>
                <c:pt idx="0">
                  <c:v>Top 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Sheet25!$F$2:$F$13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Sheet25!$H$2:$H$13</c:f>
              <c:numCache>
                <c:formatCode>General</c:formatCode>
                <c:ptCount val="12"/>
                <c:pt idx="0">
                  <c:v>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2-473C-AD56-2DAB3BBCF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17522959"/>
        <c:axId val="817523439"/>
      </c:barChart>
      <c:catAx>
        <c:axId val="81752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523439"/>
        <c:crosses val="autoZero"/>
        <c:auto val="1"/>
        <c:lblAlgn val="ctr"/>
        <c:lblOffset val="100"/>
        <c:noMultiLvlLbl val="0"/>
      </c:catAx>
      <c:valAx>
        <c:axId val="8175234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752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Sheet26!$F$1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Sheet26!$E$2:$E$19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Sheet26!$F$2:$F$19</c:f>
              <c:numCache>
                <c:formatCode>General</c:formatCode>
                <c:ptCount val="18"/>
                <c:pt idx="0">
                  <c:v>159</c:v>
                </c:pt>
                <c:pt idx="1">
                  <c:v>117</c:v>
                </c:pt>
                <c:pt idx="2">
                  <c:v>126</c:v>
                </c:pt>
                <c:pt idx="3">
                  <c:v>188</c:v>
                </c:pt>
                <c:pt idx="4">
                  <c:v>168</c:v>
                </c:pt>
                <c:pt idx="5">
                  <c:v>213</c:v>
                </c:pt>
                <c:pt idx="6">
                  <c:v>219</c:v>
                </c:pt>
                <c:pt idx="7">
                  <c:v>153</c:v>
                </c:pt>
                <c:pt idx="8">
                  <c:v>217</c:v>
                </c:pt>
                <c:pt idx="9">
                  <c:v>245</c:v>
                </c:pt>
                <c:pt idx="10">
                  <c:v>182</c:v>
                </c:pt>
                <c:pt idx="11">
                  <c:v>232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9-4CE0-A1D1-211F8BCF2908}"/>
            </c:ext>
          </c:extLst>
        </c:ser>
        <c:ser>
          <c:idx val="1"/>
          <c:order val="1"/>
          <c:tx>
            <c:strRef>
              <c:f>Sheet26!$G$1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Sheet26!$E$2:$E$19</c:f>
              <c:strCache>
                <c:ptCount val="1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</c:strCache>
            </c:strRef>
          </c:cat>
          <c:val>
            <c:numRef>
              <c:f>Sheet26!$G$2:$G$19</c:f>
              <c:numCache>
                <c:formatCode>General</c:formatCode>
                <c:ptCount val="1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232</c:v>
                </c:pt>
                <c:pt idx="12">
                  <c:v>239</c:v>
                </c:pt>
                <c:pt idx="13">
                  <c:v>254</c:v>
                </c:pt>
                <c:pt idx="14">
                  <c:v>275</c:v>
                </c:pt>
                <c:pt idx="15">
                  <c:v>219</c:v>
                </c:pt>
                <c:pt idx="16">
                  <c:v>235</c:v>
                </c:pt>
                <c:pt idx="17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9-4CE0-A1D1-211F8BCF2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8770783"/>
        <c:axId val="2068764543"/>
      </c:lineChart>
      <c:catAx>
        <c:axId val="20687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64543"/>
        <c:crosses val="autoZero"/>
        <c:auto val="1"/>
        <c:lblAlgn val="ctr"/>
        <c:lblOffset val="100"/>
        <c:noMultiLvlLbl val="0"/>
      </c:catAx>
      <c:valAx>
        <c:axId val="206876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77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Sheet27!$J$1</c:f>
              <c:strCache>
                <c:ptCount val="1"/>
                <c:pt idx="0">
                  <c:v>Yr. 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Sheet27!$I$2:$I$13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Sheet27!$J$2:$J$13</c:f>
              <c:numCache>
                <c:formatCode>General</c:formatCode>
                <c:ptCount val="12"/>
                <c:pt idx="0">
                  <c:v>197</c:v>
                </c:pt>
                <c:pt idx="1">
                  <c:v>198</c:v>
                </c:pt>
                <c:pt idx="2">
                  <c:v>199</c:v>
                </c:pt>
                <c:pt idx="3">
                  <c:v>126</c:v>
                </c:pt>
                <c:pt idx="4">
                  <c:v>124</c:v>
                </c:pt>
                <c:pt idx="5">
                  <c:v>178</c:v>
                </c:pt>
                <c:pt idx="6">
                  <c:v>144</c:v>
                </c:pt>
                <c:pt idx="7">
                  <c:v>185</c:v>
                </c:pt>
                <c:pt idx="8">
                  <c:v>218</c:v>
                </c:pt>
                <c:pt idx="9">
                  <c:v>144</c:v>
                </c:pt>
                <c:pt idx="10">
                  <c:v>199</c:v>
                </c:pt>
                <c:pt idx="11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F-4977-97C3-18BBB069E880}"/>
            </c:ext>
          </c:extLst>
        </c:ser>
        <c:ser>
          <c:idx val="1"/>
          <c:order val="1"/>
          <c:tx>
            <c:strRef>
              <c:f>Sheet27!$K$1</c:f>
              <c:strCache>
                <c:ptCount val="1"/>
                <c:pt idx="0">
                  <c:v>Yr. 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Sheet27!$I$2:$I$13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Sheet27!$K$2:$K$13</c:f>
              <c:numCache>
                <c:formatCode>General</c:formatCode>
                <c:ptCount val="12"/>
                <c:pt idx="0">
                  <c:v>135</c:v>
                </c:pt>
                <c:pt idx="1">
                  <c:v>212</c:v>
                </c:pt>
                <c:pt idx="2">
                  <c:v>141</c:v>
                </c:pt>
                <c:pt idx="3">
                  <c:v>216</c:v>
                </c:pt>
                <c:pt idx="4">
                  <c:v>134</c:v>
                </c:pt>
                <c:pt idx="5">
                  <c:v>178</c:v>
                </c:pt>
                <c:pt idx="6">
                  <c:v>141</c:v>
                </c:pt>
                <c:pt idx="7">
                  <c:v>191</c:v>
                </c:pt>
                <c:pt idx="8">
                  <c:v>142</c:v>
                </c:pt>
                <c:pt idx="9">
                  <c:v>224</c:v>
                </c:pt>
                <c:pt idx="10">
                  <c:v>238</c:v>
                </c:pt>
                <c:pt idx="11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F-4977-97C3-18BBB069E880}"/>
            </c:ext>
          </c:extLst>
        </c:ser>
        <c:ser>
          <c:idx val="2"/>
          <c:order val="2"/>
          <c:tx>
            <c:strRef>
              <c:f>Sheet27!$L$1</c:f>
              <c:strCache>
                <c:ptCount val="1"/>
                <c:pt idx="0">
                  <c:v>Yr. 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Sheet27!$I$2:$I$13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Sheet27!$L$2:$L$13</c:f>
              <c:numCache>
                <c:formatCode>General</c:formatCode>
                <c:ptCount val="12"/>
                <c:pt idx="0">
                  <c:v>204</c:v>
                </c:pt>
                <c:pt idx="1">
                  <c:v>145</c:v>
                </c:pt>
                <c:pt idx="2">
                  <c:v>155</c:v>
                </c:pt>
                <c:pt idx="3">
                  <c:v>160</c:v>
                </c:pt>
                <c:pt idx="4">
                  <c:v>139</c:v>
                </c:pt>
                <c:pt idx="5">
                  <c:v>137</c:v>
                </c:pt>
                <c:pt idx="6">
                  <c:v>190</c:v>
                </c:pt>
                <c:pt idx="7">
                  <c:v>140</c:v>
                </c:pt>
                <c:pt idx="8">
                  <c:v>178</c:v>
                </c:pt>
                <c:pt idx="9">
                  <c:v>169</c:v>
                </c:pt>
                <c:pt idx="10">
                  <c:v>241</c:v>
                </c:pt>
                <c:pt idx="11">
                  <c:v>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F-4977-97C3-18BBB069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282207"/>
        <c:axId val="1164299007"/>
      </c:lineChart>
      <c:catAx>
        <c:axId val="11642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99007"/>
        <c:crosses val="autoZero"/>
        <c:auto val="1"/>
        <c:lblAlgn val="ctr"/>
        <c:lblOffset val="100"/>
        <c:noMultiLvlLbl val="0"/>
      </c:catAx>
      <c:valAx>
        <c:axId val="116429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2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K$1" max="7" min="1" page="10"/>
</file>

<file path=xl/ctrlProps/ctrlProp2.xml><?xml version="1.0" encoding="utf-8"?>
<formControlPr xmlns="http://schemas.microsoft.com/office/spreadsheetml/2009/9/main" objectType="CheckBox" checked="Checked" fmlaLink="$G$5" lockText="1" noThreeD="1"/>
</file>

<file path=xl/ctrlProps/ctrlProp3.xml><?xml version="1.0" encoding="utf-8"?>
<formControlPr xmlns="http://schemas.microsoft.com/office/spreadsheetml/2009/9/main" objectType="CheckBox" checked="Checked" fmlaLink="$G$6" lockText="1" noThreeD="1"/>
</file>

<file path=xl/ctrlProps/ctrlProp4.xml><?xml version="1.0" encoding="utf-8"?>
<formControlPr xmlns="http://schemas.microsoft.com/office/spreadsheetml/2009/9/main" objectType="CheckBox" checked="Checked" fmlaLink="$G$7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180975</xdr:rowOff>
    </xdr:from>
    <xdr:to>
      <xdr:col>9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8531D5-7EDF-CE8B-B933-6989D43FB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</xdr:row>
      <xdr:rowOff>47624</xdr:rowOff>
    </xdr:from>
    <xdr:to>
      <xdr:col>14</xdr:col>
      <xdr:colOff>180975</xdr:colOff>
      <xdr:row>13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7B522E-F12D-40CD-D886-0CD255429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238125</xdr:colOff>
      <xdr:row>0</xdr:row>
      <xdr:rowOff>180975</xdr:rowOff>
    </xdr:from>
    <xdr:to>
      <xdr:col>23</xdr:col>
      <xdr:colOff>238125</xdr:colOff>
      <xdr:row>10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65D98D-1E64-7E1D-82F2-9D88155B6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362682</xdr:colOff>
      <xdr:row>0</xdr:row>
      <xdr:rowOff>5</xdr:rowOff>
    </xdr:from>
    <xdr:to>
      <xdr:col>11</xdr:col>
      <xdr:colOff>69605</xdr:colOff>
      <xdr:row>14</xdr:row>
      <xdr:rowOff>76205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B8303-61D6-254A-8909-1FF364203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362682</xdr:colOff>
      <xdr:row>0</xdr:row>
      <xdr:rowOff>5</xdr:rowOff>
    </xdr:from>
    <xdr:to>
      <xdr:col>11</xdr:col>
      <xdr:colOff>69605</xdr:colOff>
      <xdr:row>14</xdr:row>
      <xdr:rowOff>76205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A0A7E-CBDA-4EC7-B811-48C76E025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52387</xdr:rowOff>
    </xdr:from>
    <xdr:to>
      <xdr:col>13</xdr:col>
      <xdr:colOff>228600</xdr:colOff>
      <xdr:row>16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ADBBD7-105C-C413-A02C-2B6C2D8DD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</xdr:row>
      <xdr:rowOff>4762</xdr:rowOff>
    </xdr:from>
    <xdr:to>
      <xdr:col>15</xdr:col>
      <xdr:colOff>333375</xdr:colOff>
      <xdr:row>17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1ABFAD-E3AB-021E-72AB-DA5B3C149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209550</xdr:colOff>
          <xdr:row>0</xdr:row>
          <xdr:rowOff>57150</xdr:rowOff>
        </xdr:from>
        <xdr:to>
          <xdr:col>11</xdr:col>
          <xdr:colOff>552450</xdr:colOff>
          <xdr:row>2</xdr:row>
          <xdr:rowOff>95250</xdr:rowOff>
        </xdr:to>
        <xdr:sp macro="" textlink="">
          <xdr:nvSpPr>
            <xdr:cNvPr id="25601" name="Spinner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18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142874</xdr:colOff>
      <xdr:row>1</xdr:row>
      <xdr:rowOff>83127</xdr:rowOff>
    </xdr:from>
    <xdr:to>
      <xdr:col>14</xdr:col>
      <xdr:colOff>471920</xdr:colOff>
      <xdr:row>15</xdr:row>
      <xdr:rowOff>159327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1F073F-DBCA-56C5-0785-D1EF2201F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3</xdr:row>
          <xdr:rowOff>152400</xdr:rowOff>
        </xdr:from>
        <xdr:to>
          <xdr:col>6</xdr:col>
          <xdr:colOff>38100</xdr:colOff>
          <xdr:row>5</xdr:row>
          <xdr:rowOff>9525</xdr:rowOff>
        </xdr:to>
        <xdr:sp macro="" textlink="">
          <xdr:nvSpPr>
            <xdr:cNvPr id="47105" name="Check Box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1A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Yr. 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4</xdr:row>
          <xdr:rowOff>180975</xdr:rowOff>
        </xdr:from>
        <xdr:to>
          <xdr:col>6</xdr:col>
          <xdr:colOff>38100</xdr:colOff>
          <xdr:row>6</xdr:row>
          <xdr:rowOff>38100</xdr:rowOff>
        </xdr:to>
        <xdr:sp macro="" textlink="">
          <xdr:nvSpPr>
            <xdr:cNvPr id="47106" name="Check Box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1A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Yr. 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6</xdr:row>
          <xdr:rowOff>19050</xdr:rowOff>
        </xdr:from>
        <xdr:to>
          <xdr:col>6</xdr:col>
          <xdr:colOff>38100</xdr:colOff>
          <xdr:row>7</xdr:row>
          <xdr:rowOff>66675</xdr:rowOff>
        </xdr:to>
        <xdr:sp macro="" textlink="">
          <xdr:nvSpPr>
            <xdr:cNvPr id="47107" name="Check Box 3" hidden="1">
              <a:extLst>
                <a:ext uri="{63B3BB69-23CF-44E3-9099-C40C66FF867C}">
                  <a14:compatExt spid="_x0000_s47107"/>
                </a:ext>
                <a:ext uri="{FF2B5EF4-FFF2-40B4-BE49-F238E27FC236}">
                  <a16:creationId xmlns:a16="http://schemas.microsoft.com/office/drawing/2014/main" id="{00000000-0008-0000-1A00-000003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Yr. 2024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220806</xdr:colOff>
      <xdr:row>0</xdr:row>
      <xdr:rowOff>25977</xdr:rowOff>
    </xdr:from>
    <xdr:to>
      <xdr:col>14</xdr:col>
      <xdr:colOff>549851</xdr:colOff>
      <xdr:row>15</xdr:row>
      <xdr:rowOff>43294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ECD9C-A5BB-6DB5-D653-28261E110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2</xdr:row>
      <xdr:rowOff>19050</xdr:rowOff>
    </xdr:from>
    <xdr:to>
      <xdr:col>11</xdr:col>
      <xdr:colOff>457200</xdr:colOff>
      <xdr:row>9</xdr:row>
      <xdr:rowOff>57150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C009DDA9-C800-8275-A46E-C373B9156B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6275" y="4000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Babu Singam" refreshedDate="46013.437654629626" createdVersion="8" refreshedVersion="8" minRefreshableVersion="3" recordCount="100" xr:uid="{BE0CCC3D-2439-46E6-9169-44D103DC7496}">
  <cacheSource type="worksheet">
    <worksheetSource ref="A1:F101" sheet="Sheet28"/>
  </cacheSource>
  <cacheFields count="6">
    <cacheField name="Name" numFmtId="0">
      <sharedItems count="4">
        <s v="Aravind"/>
        <s v="Pavan"/>
        <s v="Shahid"/>
        <s v="Kalyan"/>
      </sharedItems>
    </cacheField>
    <cacheField name="Month" numFmtId="0">
      <sharedItems count="3">
        <s v="Mar"/>
        <s v="Feb"/>
        <s v="Jan"/>
      </sharedItems>
    </cacheField>
    <cacheField name="Region" numFmtId="0">
      <sharedItems count="5">
        <s v="East"/>
        <s v="South"/>
        <s v="North"/>
        <s v="West"/>
        <s v="Central"/>
      </sharedItems>
    </cacheField>
    <cacheField name="Product" numFmtId="0">
      <sharedItems count="3">
        <s v="P3"/>
        <s v="P2"/>
        <s v="P1"/>
      </sharedItems>
    </cacheField>
    <cacheField name="Sales" numFmtId="0">
      <sharedItems containsSemiMixedTypes="0" containsString="0" containsNumber="1" containsInteger="1" minValue="10107" maxValue="39752"/>
    </cacheField>
    <cacheField name="Profit" numFmtId="0">
      <sharedItems containsSemiMixedTypes="0" containsString="0" containsNumber="1" minValue="622.79999999999995" maxValue="11422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Babu Singam" refreshedDate="46013.465020717595" createdVersion="8" refreshedVersion="8" minRefreshableVersion="3" recordCount="100" xr:uid="{EBDA1633-94D9-4264-8044-87BA69EAEEAB}">
  <cacheSource type="worksheet">
    <worksheetSource name="Q1Sales"/>
  </cacheSource>
  <cacheFields count="7">
    <cacheField name="Name" numFmtId="0">
      <sharedItems count="4">
        <s v="Aravind"/>
        <s v="Pavan"/>
        <s v="Shahid"/>
        <s v="Kalyan"/>
      </sharedItems>
    </cacheField>
    <cacheField name="Month" numFmtId="0">
      <sharedItems count="3">
        <s v="Jan"/>
        <s v="Feb"/>
        <s v="Mar"/>
      </sharedItems>
    </cacheField>
    <cacheField name="Region" numFmtId="0">
      <sharedItems count="5">
        <s v="East"/>
        <s v="South"/>
        <s v="North"/>
        <s v="West"/>
        <s v="Central"/>
      </sharedItems>
    </cacheField>
    <cacheField name="Product" numFmtId="0">
      <sharedItems count="3">
        <s v="P3"/>
        <s v="P2"/>
        <s v="P1"/>
      </sharedItems>
    </cacheField>
    <cacheField name="Sales" numFmtId="0">
      <sharedItems containsSemiMixedTypes="0" containsString="0" containsNumber="1" containsInteger="1" minValue="10107" maxValue="39752"/>
    </cacheField>
    <cacheField name="Profit" numFmtId="0">
      <sharedItems containsSemiMixedTypes="0" containsString="0" containsNumber="1" minValue="622.79999999999995" maxValue="11422.23"/>
    </cacheField>
    <cacheField name="Date" numFmtId="14">
      <sharedItems containsSemiMixedTypes="0" containsNonDate="0" containsDate="1" containsString="0" minDate="2025-01-01T00:00:00" maxDate="2025-03-31T00:00:00" count="61">
        <d v="2025-01-16T00:00:00"/>
        <d v="2025-01-27T00:00:00"/>
        <d v="2025-02-27T00:00:00"/>
        <d v="2025-01-05T00:00:00"/>
        <d v="2025-02-02T00:00:00"/>
        <d v="2025-03-06T00:00:00"/>
        <d v="2025-02-20T00:00:00"/>
        <d v="2025-02-18T00:00:00"/>
        <d v="2025-02-19T00:00:00"/>
        <d v="2025-01-07T00:00:00"/>
        <d v="2025-03-23T00:00:00"/>
        <d v="2025-03-02T00:00:00"/>
        <d v="2025-02-17T00:00:00"/>
        <d v="2025-02-13T00:00:00"/>
        <d v="2025-01-20T00:00:00"/>
        <d v="2025-03-10T00:00:00"/>
        <d v="2025-01-31T00:00:00"/>
        <d v="2025-02-12T00:00:00"/>
        <d v="2025-03-05T00:00:00"/>
        <d v="2025-01-12T00:00:00"/>
        <d v="2025-03-15T00:00:00"/>
        <d v="2025-01-17T00:00:00"/>
        <d v="2025-02-04T00:00:00"/>
        <d v="2025-01-25T00:00:00"/>
        <d v="2025-03-30T00:00:00"/>
        <d v="2025-01-03T00:00:00"/>
        <d v="2025-01-21T00:00:00"/>
        <d v="2025-01-01T00:00:00"/>
        <d v="2025-01-08T00:00:00"/>
        <d v="2025-01-09T00:00:00"/>
        <d v="2025-02-16T00:00:00"/>
        <d v="2025-03-11T00:00:00"/>
        <d v="2025-03-19T00:00:00"/>
        <d v="2025-03-04T00:00:00"/>
        <d v="2025-01-28T00:00:00"/>
        <d v="2025-03-27T00:00:00"/>
        <d v="2025-02-24T00:00:00"/>
        <d v="2025-01-23T00:00:00"/>
        <d v="2025-02-03T00:00:00"/>
        <d v="2025-03-25T00:00:00"/>
        <d v="2025-03-07T00:00:00"/>
        <d v="2025-01-24T00:00:00"/>
        <d v="2025-03-13T00:00:00"/>
        <d v="2025-01-14T00:00:00"/>
        <d v="2025-02-08T00:00:00"/>
        <d v="2025-01-22T00:00:00"/>
        <d v="2025-02-06T00:00:00"/>
        <d v="2025-03-20T00:00:00"/>
        <d v="2025-02-11T00:00:00"/>
        <d v="2025-03-03T00:00:00"/>
        <d v="2025-03-28T00:00:00"/>
        <d v="2025-03-26T00:00:00"/>
        <d v="2025-02-25T00:00:00"/>
        <d v="2025-03-12T00:00:00"/>
        <d v="2025-02-07T00:00:00"/>
        <d v="2025-01-04T00:00:00"/>
        <d v="2025-01-11T00:00:00"/>
        <d v="2025-03-17T00:00:00"/>
        <d v="2025-01-29T00:00:00"/>
        <d v="2025-02-21T00:00:00"/>
        <d v="2025-02-05T00:00:00"/>
      </sharedItems>
    </cacheField>
  </cacheFields>
  <extLst>
    <ext xmlns:x14="http://schemas.microsoft.com/office/spreadsheetml/2009/9/main" uri="{725AE2AE-9491-48be-B2B4-4EB974FC3084}">
      <x14:pivotCacheDefinition pivotCacheId="13969847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10107"/>
    <n v="2021.4"/>
  </r>
  <r>
    <x v="1"/>
    <x v="0"/>
    <x v="1"/>
    <x v="1"/>
    <n v="34572"/>
    <n v="6914.4"/>
  </r>
  <r>
    <x v="2"/>
    <x v="1"/>
    <x v="2"/>
    <x v="0"/>
    <n v="23026"/>
    <n v="4144.68"/>
  </r>
  <r>
    <x v="2"/>
    <x v="1"/>
    <x v="3"/>
    <x v="0"/>
    <n v="24153"/>
    <n v="6762.84"/>
  </r>
  <r>
    <x v="2"/>
    <x v="0"/>
    <x v="2"/>
    <x v="2"/>
    <n v="39752"/>
    <n v="6757.84"/>
  </r>
  <r>
    <x v="0"/>
    <x v="0"/>
    <x v="0"/>
    <x v="0"/>
    <n v="13702"/>
    <n v="959.14"/>
  </r>
  <r>
    <x v="0"/>
    <x v="2"/>
    <x v="4"/>
    <x v="2"/>
    <n v="16726"/>
    <n v="836.3"/>
  </r>
  <r>
    <x v="3"/>
    <x v="0"/>
    <x v="1"/>
    <x v="0"/>
    <n v="14606"/>
    <n v="2921.2"/>
  </r>
  <r>
    <x v="1"/>
    <x v="2"/>
    <x v="1"/>
    <x v="1"/>
    <n v="27750"/>
    <n v="7215"/>
  </r>
  <r>
    <x v="3"/>
    <x v="1"/>
    <x v="4"/>
    <x v="1"/>
    <n v="19238"/>
    <n v="4232.3599999999997"/>
  </r>
  <r>
    <x v="0"/>
    <x v="0"/>
    <x v="4"/>
    <x v="0"/>
    <n v="32426"/>
    <n v="9403.5400000000009"/>
  </r>
  <r>
    <x v="0"/>
    <x v="2"/>
    <x v="0"/>
    <x v="0"/>
    <n v="33943"/>
    <n v="4412.59"/>
  </r>
  <r>
    <x v="1"/>
    <x v="1"/>
    <x v="0"/>
    <x v="1"/>
    <n v="38693"/>
    <n v="8899.39"/>
  </r>
  <r>
    <x v="0"/>
    <x v="0"/>
    <x v="4"/>
    <x v="1"/>
    <n v="22964"/>
    <n v="1607.48"/>
  </r>
  <r>
    <x v="0"/>
    <x v="2"/>
    <x v="0"/>
    <x v="0"/>
    <n v="28527"/>
    <n v="6846.48"/>
  </r>
  <r>
    <x v="2"/>
    <x v="2"/>
    <x v="1"/>
    <x v="0"/>
    <n v="21575"/>
    <n v="3020.5"/>
  </r>
  <r>
    <x v="2"/>
    <x v="1"/>
    <x v="0"/>
    <x v="1"/>
    <n v="39387"/>
    <n v="11422.23"/>
  </r>
  <r>
    <x v="1"/>
    <x v="1"/>
    <x v="2"/>
    <x v="2"/>
    <n v="32806"/>
    <n v="4264.78"/>
  </r>
  <r>
    <x v="3"/>
    <x v="0"/>
    <x v="2"/>
    <x v="0"/>
    <n v="39047"/>
    <n v="3514.23"/>
  </r>
  <r>
    <x v="2"/>
    <x v="2"/>
    <x v="1"/>
    <x v="2"/>
    <n v="27577"/>
    <n v="1930.39"/>
  </r>
  <r>
    <x v="0"/>
    <x v="0"/>
    <x v="3"/>
    <x v="1"/>
    <n v="32575"/>
    <n v="1628.75"/>
  </r>
  <r>
    <x v="1"/>
    <x v="0"/>
    <x v="4"/>
    <x v="0"/>
    <n v="10380"/>
    <n v="622.79999999999995"/>
  </r>
  <r>
    <x v="1"/>
    <x v="2"/>
    <x v="2"/>
    <x v="1"/>
    <n v="13009"/>
    <n v="2601.8000000000002"/>
  </r>
  <r>
    <x v="2"/>
    <x v="0"/>
    <x v="1"/>
    <x v="1"/>
    <n v="10529"/>
    <n v="842.32"/>
  </r>
  <r>
    <x v="3"/>
    <x v="0"/>
    <x v="4"/>
    <x v="1"/>
    <n v="14635"/>
    <n v="3512.4"/>
  </r>
  <r>
    <x v="2"/>
    <x v="2"/>
    <x v="1"/>
    <x v="2"/>
    <n v="30972"/>
    <n v="7743"/>
  </r>
  <r>
    <x v="3"/>
    <x v="1"/>
    <x v="3"/>
    <x v="1"/>
    <n v="38386"/>
    <n v="2687.02"/>
  </r>
  <r>
    <x v="2"/>
    <x v="2"/>
    <x v="3"/>
    <x v="1"/>
    <n v="27281"/>
    <n v="5456.2"/>
  </r>
  <r>
    <x v="2"/>
    <x v="0"/>
    <x v="0"/>
    <x v="1"/>
    <n v="29384"/>
    <n v="1763.04"/>
  </r>
  <r>
    <x v="1"/>
    <x v="1"/>
    <x v="3"/>
    <x v="2"/>
    <n v="18080"/>
    <n v="1988.8"/>
  </r>
  <r>
    <x v="2"/>
    <x v="2"/>
    <x v="4"/>
    <x v="0"/>
    <n v="35593"/>
    <n v="6762.67"/>
  </r>
  <r>
    <x v="3"/>
    <x v="0"/>
    <x v="2"/>
    <x v="2"/>
    <n v="33258"/>
    <n v="2993.22"/>
  </r>
  <r>
    <x v="1"/>
    <x v="2"/>
    <x v="2"/>
    <x v="1"/>
    <n v="38992"/>
    <n v="4679.04"/>
  </r>
  <r>
    <x v="3"/>
    <x v="2"/>
    <x v="2"/>
    <x v="0"/>
    <n v="13547"/>
    <n v="1490.17"/>
  </r>
  <r>
    <x v="1"/>
    <x v="2"/>
    <x v="0"/>
    <x v="1"/>
    <n v="36092"/>
    <n v="6857.48"/>
  </r>
  <r>
    <x v="0"/>
    <x v="2"/>
    <x v="0"/>
    <x v="0"/>
    <n v="31964"/>
    <n v="4155.32"/>
  </r>
  <r>
    <x v="3"/>
    <x v="1"/>
    <x v="3"/>
    <x v="2"/>
    <n v="23710"/>
    <n v="6164.6"/>
  </r>
  <r>
    <x v="2"/>
    <x v="1"/>
    <x v="2"/>
    <x v="2"/>
    <n v="32093"/>
    <n v="3530.23"/>
  </r>
  <r>
    <x v="1"/>
    <x v="0"/>
    <x v="4"/>
    <x v="0"/>
    <n v="28973"/>
    <n v="6663.79"/>
  </r>
  <r>
    <x v="2"/>
    <x v="1"/>
    <x v="2"/>
    <x v="2"/>
    <n v="36163"/>
    <n v="1808.15"/>
  </r>
  <r>
    <x v="2"/>
    <x v="1"/>
    <x v="0"/>
    <x v="0"/>
    <n v="37193"/>
    <n v="8554.39"/>
  </r>
  <r>
    <x v="0"/>
    <x v="1"/>
    <x v="4"/>
    <x v="2"/>
    <n v="14328"/>
    <n v="2865.6"/>
  </r>
  <r>
    <x v="1"/>
    <x v="1"/>
    <x v="2"/>
    <x v="2"/>
    <n v="21329"/>
    <n v="3199.35"/>
  </r>
  <r>
    <x v="2"/>
    <x v="2"/>
    <x v="2"/>
    <x v="0"/>
    <n v="33285"/>
    <n v="9652.65"/>
  </r>
  <r>
    <x v="0"/>
    <x v="0"/>
    <x v="2"/>
    <x v="1"/>
    <n v="22592"/>
    <n v="5648"/>
  </r>
  <r>
    <x v="1"/>
    <x v="1"/>
    <x v="1"/>
    <x v="2"/>
    <n v="11690"/>
    <n v="3273.2"/>
  </r>
  <r>
    <x v="1"/>
    <x v="0"/>
    <x v="3"/>
    <x v="0"/>
    <n v="18783"/>
    <n v="4132.26"/>
  </r>
  <r>
    <x v="3"/>
    <x v="2"/>
    <x v="1"/>
    <x v="2"/>
    <n v="37849"/>
    <n v="2270.94"/>
  </r>
  <r>
    <x v="3"/>
    <x v="2"/>
    <x v="0"/>
    <x v="0"/>
    <n v="37548"/>
    <n v="11264.4"/>
  </r>
  <r>
    <x v="0"/>
    <x v="0"/>
    <x v="1"/>
    <x v="1"/>
    <n v="28520"/>
    <n v="5989.2"/>
  </r>
  <r>
    <x v="3"/>
    <x v="2"/>
    <x v="1"/>
    <x v="0"/>
    <n v="31125"/>
    <n v="3735"/>
  </r>
  <r>
    <x v="1"/>
    <x v="1"/>
    <x v="1"/>
    <x v="0"/>
    <n v="33232"/>
    <n v="4320.16"/>
  </r>
  <r>
    <x v="2"/>
    <x v="0"/>
    <x v="3"/>
    <x v="0"/>
    <n v="13155"/>
    <n v="789.3"/>
  </r>
  <r>
    <x v="1"/>
    <x v="1"/>
    <x v="3"/>
    <x v="2"/>
    <n v="13055"/>
    <n v="3002.65"/>
  </r>
  <r>
    <x v="0"/>
    <x v="1"/>
    <x v="1"/>
    <x v="2"/>
    <n v="19099"/>
    <n v="954.95"/>
  </r>
  <r>
    <x v="0"/>
    <x v="2"/>
    <x v="1"/>
    <x v="0"/>
    <n v="25000"/>
    <n v="1750"/>
  </r>
  <r>
    <x v="1"/>
    <x v="2"/>
    <x v="2"/>
    <x v="1"/>
    <n v="26388"/>
    <n v="2111.04"/>
  </r>
  <r>
    <x v="0"/>
    <x v="0"/>
    <x v="3"/>
    <x v="2"/>
    <n v="24126"/>
    <n v="3618.9"/>
  </r>
  <r>
    <x v="1"/>
    <x v="0"/>
    <x v="4"/>
    <x v="2"/>
    <n v="32605"/>
    <n v="9781.5"/>
  </r>
  <r>
    <x v="0"/>
    <x v="1"/>
    <x v="2"/>
    <x v="1"/>
    <n v="35157"/>
    <n v="5625.12"/>
  </r>
  <r>
    <x v="2"/>
    <x v="0"/>
    <x v="4"/>
    <x v="0"/>
    <n v="26938"/>
    <n v="4310.08"/>
  </r>
  <r>
    <x v="2"/>
    <x v="0"/>
    <x v="2"/>
    <x v="0"/>
    <n v="23140"/>
    <n v="3239.6"/>
  </r>
  <r>
    <x v="0"/>
    <x v="0"/>
    <x v="3"/>
    <x v="2"/>
    <n v="39711"/>
    <n v="6353.76"/>
  </r>
  <r>
    <x v="0"/>
    <x v="1"/>
    <x v="2"/>
    <x v="0"/>
    <n v="22840"/>
    <n v="5481.6"/>
  </r>
  <r>
    <x v="3"/>
    <x v="0"/>
    <x v="1"/>
    <x v="2"/>
    <n v="24033"/>
    <n v="6488.91"/>
  </r>
  <r>
    <x v="1"/>
    <x v="2"/>
    <x v="4"/>
    <x v="0"/>
    <n v="19320"/>
    <n v="2704.8"/>
  </r>
  <r>
    <x v="2"/>
    <x v="1"/>
    <x v="0"/>
    <x v="2"/>
    <n v="25551"/>
    <n v="1788.57"/>
  </r>
  <r>
    <x v="3"/>
    <x v="0"/>
    <x v="1"/>
    <x v="1"/>
    <n v="38869"/>
    <n v="10883.32"/>
  </r>
  <r>
    <x v="1"/>
    <x v="0"/>
    <x v="2"/>
    <x v="1"/>
    <n v="14854"/>
    <n v="3564.96"/>
  </r>
  <r>
    <x v="2"/>
    <x v="2"/>
    <x v="1"/>
    <x v="1"/>
    <n v="36652"/>
    <n v="2932.16"/>
  </r>
  <r>
    <x v="1"/>
    <x v="1"/>
    <x v="0"/>
    <x v="1"/>
    <n v="24629"/>
    <n v="5172.09"/>
  </r>
  <r>
    <x v="0"/>
    <x v="1"/>
    <x v="2"/>
    <x v="2"/>
    <n v="13625"/>
    <n v="3951.25"/>
  </r>
  <r>
    <x v="3"/>
    <x v="2"/>
    <x v="4"/>
    <x v="1"/>
    <n v="22739"/>
    <n v="3410.85"/>
  </r>
  <r>
    <x v="1"/>
    <x v="2"/>
    <x v="3"/>
    <x v="0"/>
    <n v="11493"/>
    <n v="2758.32"/>
  </r>
  <r>
    <x v="0"/>
    <x v="1"/>
    <x v="1"/>
    <x v="1"/>
    <n v="24712"/>
    <n v="2965.44"/>
  </r>
  <r>
    <x v="3"/>
    <x v="0"/>
    <x v="3"/>
    <x v="0"/>
    <n v="28703"/>
    <n v="5166.54"/>
  </r>
  <r>
    <x v="1"/>
    <x v="1"/>
    <x v="1"/>
    <x v="0"/>
    <n v="13629"/>
    <n v="3952.41"/>
  </r>
  <r>
    <x v="0"/>
    <x v="1"/>
    <x v="2"/>
    <x v="0"/>
    <n v="11055"/>
    <n v="2321.5500000000002"/>
  </r>
  <r>
    <x v="3"/>
    <x v="2"/>
    <x v="1"/>
    <x v="2"/>
    <n v="25933"/>
    <n v="3889.95"/>
  </r>
  <r>
    <x v="0"/>
    <x v="1"/>
    <x v="0"/>
    <x v="2"/>
    <n v="16795"/>
    <n v="2519.25"/>
  </r>
  <r>
    <x v="3"/>
    <x v="1"/>
    <x v="0"/>
    <x v="2"/>
    <n v="30424"/>
    <n v="1825.44"/>
  </r>
  <r>
    <x v="0"/>
    <x v="1"/>
    <x v="1"/>
    <x v="1"/>
    <n v="15588"/>
    <n v="3273.48"/>
  </r>
  <r>
    <x v="3"/>
    <x v="2"/>
    <x v="3"/>
    <x v="2"/>
    <n v="20278"/>
    <n v="4866.72"/>
  </r>
  <r>
    <x v="3"/>
    <x v="0"/>
    <x v="1"/>
    <x v="0"/>
    <n v="29389"/>
    <n v="8228.92"/>
  </r>
  <r>
    <x v="2"/>
    <x v="2"/>
    <x v="3"/>
    <x v="1"/>
    <n v="26750"/>
    <n v="1605"/>
  </r>
  <r>
    <x v="2"/>
    <x v="2"/>
    <x v="4"/>
    <x v="2"/>
    <n v="36699"/>
    <n v="4403.88"/>
  </r>
  <r>
    <x v="0"/>
    <x v="2"/>
    <x v="2"/>
    <x v="2"/>
    <n v="29281"/>
    <n v="1756.86"/>
  </r>
  <r>
    <x v="0"/>
    <x v="2"/>
    <x v="4"/>
    <x v="2"/>
    <n v="19361"/>
    <n v="5033.8599999999997"/>
  </r>
  <r>
    <x v="0"/>
    <x v="2"/>
    <x v="3"/>
    <x v="1"/>
    <n v="38914"/>
    <n v="6226.24"/>
  </r>
  <r>
    <x v="0"/>
    <x v="0"/>
    <x v="0"/>
    <x v="0"/>
    <n v="25694"/>
    <n v="5909.62"/>
  </r>
  <r>
    <x v="3"/>
    <x v="0"/>
    <x v="4"/>
    <x v="2"/>
    <n v="17833"/>
    <n v="2139.96"/>
  </r>
  <r>
    <x v="3"/>
    <x v="1"/>
    <x v="4"/>
    <x v="2"/>
    <n v="17159"/>
    <n v="2573.85"/>
  </r>
  <r>
    <x v="1"/>
    <x v="0"/>
    <x v="4"/>
    <x v="1"/>
    <n v="19758"/>
    <n v="1580.64"/>
  </r>
  <r>
    <x v="2"/>
    <x v="1"/>
    <x v="2"/>
    <x v="2"/>
    <n v="36840"/>
    <n v="2578.8000000000002"/>
  </r>
  <r>
    <x v="3"/>
    <x v="1"/>
    <x v="4"/>
    <x v="1"/>
    <n v="21622"/>
    <n v="3459.52"/>
  </r>
  <r>
    <x v="2"/>
    <x v="1"/>
    <x v="3"/>
    <x v="1"/>
    <n v="18626"/>
    <n v="2048.86"/>
  </r>
  <r>
    <x v="3"/>
    <x v="1"/>
    <x v="0"/>
    <x v="1"/>
    <n v="32255"/>
    <n v="4193.1499999999996"/>
  </r>
  <r>
    <x v="3"/>
    <x v="1"/>
    <x v="0"/>
    <x v="1"/>
    <n v="10483"/>
    <n v="1991.77"/>
  </r>
  <r>
    <x v="2"/>
    <x v="0"/>
    <x v="1"/>
    <x v="0"/>
    <n v="30168"/>
    <n v="8447.0400000000009"/>
  </r>
  <r>
    <x v="0"/>
    <x v="0"/>
    <x v="2"/>
    <x v="0"/>
    <n v="39227"/>
    <n v="8629.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10107"/>
    <n v="2021.4"/>
    <x v="0"/>
  </r>
  <r>
    <x v="1"/>
    <x v="0"/>
    <x v="1"/>
    <x v="1"/>
    <n v="34572"/>
    <n v="6914.4"/>
    <x v="1"/>
  </r>
  <r>
    <x v="2"/>
    <x v="1"/>
    <x v="2"/>
    <x v="0"/>
    <n v="23026"/>
    <n v="4144.68"/>
    <x v="2"/>
  </r>
  <r>
    <x v="2"/>
    <x v="0"/>
    <x v="3"/>
    <x v="0"/>
    <n v="24153"/>
    <n v="6762.84"/>
    <x v="3"/>
  </r>
  <r>
    <x v="2"/>
    <x v="1"/>
    <x v="2"/>
    <x v="2"/>
    <n v="39752"/>
    <n v="6757.84"/>
    <x v="4"/>
  </r>
  <r>
    <x v="0"/>
    <x v="2"/>
    <x v="0"/>
    <x v="0"/>
    <n v="13702"/>
    <n v="959.14"/>
    <x v="5"/>
  </r>
  <r>
    <x v="0"/>
    <x v="1"/>
    <x v="4"/>
    <x v="2"/>
    <n v="16726"/>
    <n v="836.3"/>
    <x v="6"/>
  </r>
  <r>
    <x v="3"/>
    <x v="1"/>
    <x v="1"/>
    <x v="0"/>
    <n v="14606"/>
    <n v="2921.2"/>
    <x v="7"/>
  </r>
  <r>
    <x v="1"/>
    <x v="1"/>
    <x v="1"/>
    <x v="1"/>
    <n v="27750"/>
    <n v="7215"/>
    <x v="8"/>
  </r>
  <r>
    <x v="3"/>
    <x v="0"/>
    <x v="4"/>
    <x v="1"/>
    <n v="19238"/>
    <n v="4232.3599999999997"/>
    <x v="9"/>
  </r>
  <r>
    <x v="0"/>
    <x v="2"/>
    <x v="4"/>
    <x v="0"/>
    <n v="32426"/>
    <n v="9403.5400000000009"/>
    <x v="10"/>
  </r>
  <r>
    <x v="0"/>
    <x v="2"/>
    <x v="0"/>
    <x v="0"/>
    <n v="33943"/>
    <n v="4412.59"/>
    <x v="11"/>
  </r>
  <r>
    <x v="1"/>
    <x v="1"/>
    <x v="0"/>
    <x v="1"/>
    <n v="38693"/>
    <n v="8899.39"/>
    <x v="12"/>
  </r>
  <r>
    <x v="0"/>
    <x v="1"/>
    <x v="4"/>
    <x v="1"/>
    <n v="22964"/>
    <n v="1607.48"/>
    <x v="12"/>
  </r>
  <r>
    <x v="0"/>
    <x v="1"/>
    <x v="0"/>
    <x v="0"/>
    <n v="28527"/>
    <n v="6846.48"/>
    <x v="13"/>
  </r>
  <r>
    <x v="2"/>
    <x v="1"/>
    <x v="1"/>
    <x v="0"/>
    <n v="21575"/>
    <n v="3020.5"/>
    <x v="12"/>
  </r>
  <r>
    <x v="2"/>
    <x v="0"/>
    <x v="0"/>
    <x v="1"/>
    <n v="39387"/>
    <n v="11422.23"/>
    <x v="14"/>
  </r>
  <r>
    <x v="1"/>
    <x v="2"/>
    <x v="2"/>
    <x v="2"/>
    <n v="32806"/>
    <n v="4264.78"/>
    <x v="15"/>
  </r>
  <r>
    <x v="3"/>
    <x v="0"/>
    <x v="2"/>
    <x v="0"/>
    <n v="39047"/>
    <n v="3514.23"/>
    <x v="16"/>
  </r>
  <r>
    <x v="2"/>
    <x v="1"/>
    <x v="1"/>
    <x v="2"/>
    <n v="27577"/>
    <n v="1930.39"/>
    <x v="17"/>
  </r>
  <r>
    <x v="0"/>
    <x v="2"/>
    <x v="3"/>
    <x v="1"/>
    <n v="32575"/>
    <n v="1628.75"/>
    <x v="18"/>
  </r>
  <r>
    <x v="1"/>
    <x v="0"/>
    <x v="4"/>
    <x v="0"/>
    <n v="10380"/>
    <n v="622.79999999999995"/>
    <x v="19"/>
  </r>
  <r>
    <x v="1"/>
    <x v="2"/>
    <x v="2"/>
    <x v="1"/>
    <n v="13009"/>
    <n v="2601.8000000000002"/>
    <x v="20"/>
  </r>
  <r>
    <x v="2"/>
    <x v="0"/>
    <x v="1"/>
    <x v="1"/>
    <n v="10529"/>
    <n v="842.32"/>
    <x v="21"/>
  </r>
  <r>
    <x v="3"/>
    <x v="1"/>
    <x v="4"/>
    <x v="1"/>
    <n v="14635"/>
    <n v="3512.4"/>
    <x v="22"/>
  </r>
  <r>
    <x v="2"/>
    <x v="0"/>
    <x v="1"/>
    <x v="2"/>
    <n v="30972"/>
    <n v="7743"/>
    <x v="23"/>
  </r>
  <r>
    <x v="3"/>
    <x v="2"/>
    <x v="3"/>
    <x v="1"/>
    <n v="38386"/>
    <n v="2687.02"/>
    <x v="18"/>
  </r>
  <r>
    <x v="2"/>
    <x v="1"/>
    <x v="3"/>
    <x v="1"/>
    <n v="27281"/>
    <n v="5456.2"/>
    <x v="8"/>
  </r>
  <r>
    <x v="2"/>
    <x v="0"/>
    <x v="0"/>
    <x v="1"/>
    <n v="29384"/>
    <n v="1763.04"/>
    <x v="0"/>
  </r>
  <r>
    <x v="1"/>
    <x v="2"/>
    <x v="3"/>
    <x v="2"/>
    <n v="18080"/>
    <n v="1988.8"/>
    <x v="24"/>
  </r>
  <r>
    <x v="2"/>
    <x v="0"/>
    <x v="4"/>
    <x v="0"/>
    <n v="35593"/>
    <n v="6762.67"/>
    <x v="25"/>
  </r>
  <r>
    <x v="3"/>
    <x v="0"/>
    <x v="2"/>
    <x v="2"/>
    <n v="33258"/>
    <n v="2993.22"/>
    <x v="26"/>
  </r>
  <r>
    <x v="1"/>
    <x v="0"/>
    <x v="2"/>
    <x v="1"/>
    <n v="38992"/>
    <n v="4679.04"/>
    <x v="27"/>
  </r>
  <r>
    <x v="3"/>
    <x v="0"/>
    <x v="2"/>
    <x v="0"/>
    <n v="13547"/>
    <n v="1490.17"/>
    <x v="14"/>
  </r>
  <r>
    <x v="1"/>
    <x v="0"/>
    <x v="0"/>
    <x v="1"/>
    <n v="36092"/>
    <n v="6857.48"/>
    <x v="0"/>
  </r>
  <r>
    <x v="0"/>
    <x v="0"/>
    <x v="0"/>
    <x v="0"/>
    <n v="31964"/>
    <n v="4155.32"/>
    <x v="28"/>
  </r>
  <r>
    <x v="3"/>
    <x v="0"/>
    <x v="3"/>
    <x v="2"/>
    <n v="23710"/>
    <n v="6164.6"/>
    <x v="1"/>
  </r>
  <r>
    <x v="2"/>
    <x v="0"/>
    <x v="2"/>
    <x v="2"/>
    <n v="32093"/>
    <n v="3530.23"/>
    <x v="29"/>
  </r>
  <r>
    <x v="1"/>
    <x v="0"/>
    <x v="4"/>
    <x v="0"/>
    <n v="28973"/>
    <n v="6663.79"/>
    <x v="28"/>
  </r>
  <r>
    <x v="2"/>
    <x v="1"/>
    <x v="2"/>
    <x v="2"/>
    <n v="36163"/>
    <n v="1808.15"/>
    <x v="30"/>
  </r>
  <r>
    <x v="2"/>
    <x v="2"/>
    <x v="0"/>
    <x v="0"/>
    <n v="37193"/>
    <n v="8554.39"/>
    <x v="31"/>
  </r>
  <r>
    <x v="0"/>
    <x v="2"/>
    <x v="4"/>
    <x v="2"/>
    <n v="14328"/>
    <n v="2865.6"/>
    <x v="32"/>
  </r>
  <r>
    <x v="1"/>
    <x v="2"/>
    <x v="2"/>
    <x v="2"/>
    <n v="21329"/>
    <n v="3199.35"/>
    <x v="33"/>
  </r>
  <r>
    <x v="2"/>
    <x v="0"/>
    <x v="2"/>
    <x v="0"/>
    <n v="33285"/>
    <n v="9652.65"/>
    <x v="23"/>
  </r>
  <r>
    <x v="0"/>
    <x v="0"/>
    <x v="2"/>
    <x v="1"/>
    <n v="22592"/>
    <n v="5648"/>
    <x v="34"/>
  </r>
  <r>
    <x v="1"/>
    <x v="2"/>
    <x v="1"/>
    <x v="2"/>
    <n v="11690"/>
    <n v="3273.2"/>
    <x v="32"/>
  </r>
  <r>
    <x v="1"/>
    <x v="2"/>
    <x v="3"/>
    <x v="0"/>
    <n v="18783"/>
    <n v="4132.26"/>
    <x v="35"/>
  </r>
  <r>
    <x v="3"/>
    <x v="1"/>
    <x v="1"/>
    <x v="2"/>
    <n v="37849"/>
    <n v="2270.94"/>
    <x v="4"/>
  </r>
  <r>
    <x v="3"/>
    <x v="1"/>
    <x v="0"/>
    <x v="0"/>
    <n v="37548"/>
    <n v="11264.4"/>
    <x v="17"/>
  </r>
  <r>
    <x v="0"/>
    <x v="2"/>
    <x v="1"/>
    <x v="1"/>
    <n v="28520"/>
    <n v="5989.2"/>
    <x v="15"/>
  </r>
  <r>
    <x v="3"/>
    <x v="1"/>
    <x v="1"/>
    <x v="0"/>
    <n v="31125"/>
    <n v="3735"/>
    <x v="36"/>
  </r>
  <r>
    <x v="1"/>
    <x v="1"/>
    <x v="1"/>
    <x v="0"/>
    <n v="33232"/>
    <n v="4320.16"/>
    <x v="8"/>
  </r>
  <r>
    <x v="2"/>
    <x v="0"/>
    <x v="3"/>
    <x v="0"/>
    <n v="13155"/>
    <n v="789.3"/>
    <x v="37"/>
  </r>
  <r>
    <x v="1"/>
    <x v="1"/>
    <x v="3"/>
    <x v="2"/>
    <n v="13055"/>
    <n v="3002.65"/>
    <x v="12"/>
  </r>
  <r>
    <x v="0"/>
    <x v="1"/>
    <x v="1"/>
    <x v="2"/>
    <n v="19099"/>
    <n v="954.95"/>
    <x v="38"/>
  </r>
  <r>
    <x v="0"/>
    <x v="2"/>
    <x v="1"/>
    <x v="0"/>
    <n v="25000"/>
    <n v="1750"/>
    <x v="32"/>
  </r>
  <r>
    <x v="1"/>
    <x v="2"/>
    <x v="2"/>
    <x v="1"/>
    <n v="26388"/>
    <n v="2111.04"/>
    <x v="39"/>
  </r>
  <r>
    <x v="0"/>
    <x v="2"/>
    <x v="3"/>
    <x v="2"/>
    <n v="24126"/>
    <n v="3618.9"/>
    <x v="40"/>
  </r>
  <r>
    <x v="1"/>
    <x v="0"/>
    <x v="4"/>
    <x v="2"/>
    <n v="32605"/>
    <n v="9781.5"/>
    <x v="41"/>
  </r>
  <r>
    <x v="0"/>
    <x v="1"/>
    <x v="2"/>
    <x v="1"/>
    <n v="35157"/>
    <n v="5625.12"/>
    <x v="13"/>
  </r>
  <r>
    <x v="2"/>
    <x v="2"/>
    <x v="4"/>
    <x v="0"/>
    <n v="26938"/>
    <n v="4310.08"/>
    <x v="42"/>
  </r>
  <r>
    <x v="2"/>
    <x v="1"/>
    <x v="2"/>
    <x v="0"/>
    <n v="23140"/>
    <n v="3239.6"/>
    <x v="36"/>
  </r>
  <r>
    <x v="0"/>
    <x v="2"/>
    <x v="3"/>
    <x v="2"/>
    <n v="39711"/>
    <n v="6353.76"/>
    <x v="39"/>
  </r>
  <r>
    <x v="0"/>
    <x v="0"/>
    <x v="2"/>
    <x v="0"/>
    <n v="22840"/>
    <n v="5481.6"/>
    <x v="43"/>
  </r>
  <r>
    <x v="3"/>
    <x v="1"/>
    <x v="1"/>
    <x v="2"/>
    <n v="24033"/>
    <n v="6488.91"/>
    <x v="44"/>
  </r>
  <r>
    <x v="1"/>
    <x v="0"/>
    <x v="4"/>
    <x v="0"/>
    <n v="19320"/>
    <n v="2704.8"/>
    <x v="45"/>
  </r>
  <r>
    <x v="2"/>
    <x v="1"/>
    <x v="0"/>
    <x v="2"/>
    <n v="25551"/>
    <n v="1788.57"/>
    <x v="46"/>
  </r>
  <r>
    <x v="3"/>
    <x v="2"/>
    <x v="1"/>
    <x v="1"/>
    <n v="38869"/>
    <n v="10883.32"/>
    <x v="47"/>
  </r>
  <r>
    <x v="1"/>
    <x v="0"/>
    <x v="2"/>
    <x v="1"/>
    <n v="14854"/>
    <n v="3564.96"/>
    <x v="41"/>
  </r>
  <r>
    <x v="2"/>
    <x v="0"/>
    <x v="1"/>
    <x v="1"/>
    <n v="36652"/>
    <n v="2932.16"/>
    <x v="21"/>
  </r>
  <r>
    <x v="1"/>
    <x v="2"/>
    <x v="0"/>
    <x v="1"/>
    <n v="24629"/>
    <n v="5172.09"/>
    <x v="31"/>
  </r>
  <r>
    <x v="0"/>
    <x v="1"/>
    <x v="2"/>
    <x v="2"/>
    <n v="13625"/>
    <n v="3951.25"/>
    <x v="48"/>
  </r>
  <r>
    <x v="3"/>
    <x v="2"/>
    <x v="4"/>
    <x v="1"/>
    <n v="22739"/>
    <n v="3410.85"/>
    <x v="49"/>
  </r>
  <r>
    <x v="1"/>
    <x v="2"/>
    <x v="3"/>
    <x v="0"/>
    <n v="11493"/>
    <n v="2758.32"/>
    <x v="50"/>
  </r>
  <r>
    <x v="0"/>
    <x v="0"/>
    <x v="1"/>
    <x v="1"/>
    <n v="24712"/>
    <n v="2965.44"/>
    <x v="37"/>
  </r>
  <r>
    <x v="3"/>
    <x v="0"/>
    <x v="3"/>
    <x v="0"/>
    <n v="28703"/>
    <n v="5166.54"/>
    <x v="37"/>
  </r>
  <r>
    <x v="1"/>
    <x v="2"/>
    <x v="1"/>
    <x v="0"/>
    <n v="13629"/>
    <n v="3952.41"/>
    <x v="39"/>
  </r>
  <r>
    <x v="0"/>
    <x v="0"/>
    <x v="2"/>
    <x v="0"/>
    <n v="11055"/>
    <n v="2321.5500000000002"/>
    <x v="28"/>
  </r>
  <r>
    <x v="3"/>
    <x v="2"/>
    <x v="1"/>
    <x v="2"/>
    <n v="25933"/>
    <n v="3889.95"/>
    <x v="51"/>
  </r>
  <r>
    <x v="0"/>
    <x v="1"/>
    <x v="0"/>
    <x v="2"/>
    <n v="16795"/>
    <n v="2519.25"/>
    <x v="46"/>
  </r>
  <r>
    <x v="3"/>
    <x v="1"/>
    <x v="0"/>
    <x v="2"/>
    <n v="30424"/>
    <n v="1825.44"/>
    <x v="7"/>
  </r>
  <r>
    <x v="0"/>
    <x v="1"/>
    <x v="1"/>
    <x v="1"/>
    <n v="15588"/>
    <n v="3273.48"/>
    <x v="52"/>
  </r>
  <r>
    <x v="3"/>
    <x v="2"/>
    <x v="3"/>
    <x v="2"/>
    <n v="20278"/>
    <n v="4866.72"/>
    <x v="39"/>
  </r>
  <r>
    <x v="3"/>
    <x v="0"/>
    <x v="1"/>
    <x v="0"/>
    <n v="29389"/>
    <n v="8228.92"/>
    <x v="1"/>
  </r>
  <r>
    <x v="2"/>
    <x v="2"/>
    <x v="3"/>
    <x v="1"/>
    <n v="26750"/>
    <n v="1605"/>
    <x v="15"/>
  </r>
  <r>
    <x v="2"/>
    <x v="2"/>
    <x v="4"/>
    <x v="2"/>
    <n v="36699"/>
    <n v="4403.88"/>
    <x v="53"/>
  </r>
  <r>
    <x v="0"/>
    <x v="1"/>
    <x v="2"/>
    <x v="2"/>
    <n v="29281"/>
    <n v="1756.86"/>
    <x v="54"/>
  </r>
  <r>
    <x v="0"/>
    <x v="0"/>
    <x v="4"/>
    <x v="2"/>
    <n v="19361"/>
    <n v="5033.8599999999997"/>
    <x v="55"/>
  </r>
  <r>
    <x v="0"/>
    <x v="0"/>
    <x v="3"/>
    <x v="1"/>
    <n v="38914"/>
    <n v="6226.24"/>
    <x v="56"/>
  </r>
  <r>
    <x v="0"/>
    <x v="0"/>
    <x v="0"/>
    <x v="0"/>
    <n v="25694"/>
    <n v="5909.62"/>
    <x v="16"/>
  </r>
  <r>
    <x v="3"/>
    <x v="2"/>
    <x v="4"/>
    <x v="2"/>
    <n v="17833"/>
    <n v="2139.96"/>
    <x v="57"/>
  </r>
  <r>
    <x v="3"/>
    <x v="1"/>
    <x v="4"/>
    <x v="2"/>
    <n v="17159"/>
    <n v="2573.85"/>
    <x v="13"/>
  </r>
  <r>
    <x v="1"/>
    <x v="0"/>
    <x v="4"/>
    <x v="1"/>
    <n v="19758"/>
    <n v="1580.64"/>
    <x v="58"/>
  </r>
  <r>
    <x v="2"/>
    <x v="2"/>
    <x v="2"/>
    <x v="2"/>
    <n v="36840"/>
    <n v="2578.8000000000002"/>
    <x v="51"/>
  </r>
  <r>
    <x v="3"/>
    <x v="0"/>
    <x v="4"/>
    <x v="1"/>
    <n v="21622"/>
    <n v="3459.52"/>
    <x v="14"/>
  </r>
  <r>
    <x v="2"/>
    <x v="1"/>
    <x v="3"/>
    <x v="1"/>
    <n v="18626"/>
    <n v="2048.86"/>
    <x v="59"/>
  </r>
  <r>
    <x v="3"/>
    <x v="0"/>
    <x v="0"/>
    <x v="1"/>
    <n v="32255"/>
    <n v="4193.1499999999996"/>
    <x v="56"/>
  </r>
  <r>
    <x v="3"/>
    <x v="0"/>
    <x v="0"/>
    <x v="1"/>
    <n v="10483"/>
    <n v="1991.77"/>
    <x v="1"/>
  </r>
  <r>
    <x v="2"/>
    <x v="2"/>
    <x v="1"/>
    <x v="0"/>
    <n v="30168"/>
    <n v="8447.0400000000009"/>
    <x v="10"/>
  </r>
  <r>
    <x v="0"/>
    <x v="1"/>
    <x v="2"/>
    <x v="0"/>
    <n v="39227"/>
    <n v="8629.94"/>
    <x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B16B6-1506-46D4-BB9C-3D32A69825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">
    <pivotField showAll="0">
      <items count="5">
        <item x="0"/>
        <item x="3"/>
        <item x="1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DD875-445D-4BE5-B90C-19082C7E56BD}" name="PivotTable4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E9" firstHeaderRow="1" firstDataRow="2" firstDataCol="1"/>
  <pivotFields count="7">
    <pivotField axis="axisRow" showAll="0">
      <items count="5">
        <item x="0"/>
        <item x="3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numFmtId="14" showAll="0">
      <items count="62">
        <item x="27"/>
        <item x="25"/>
        <item x="55"/>
        <item x="3"/>
        <item x="9"/>
        <item x="28"/>
        <item x="29"/>
        <item x="56"/>
        <item x="19"/>
        <item x="43"/>
        <item x="0"/>
        <item x="21"/>
        <item x="14"/>
        <item x="26"/>
        <item x="45"/>
        <item x="37"/>
        <item x="41"/>
        <item x="23"/>
        <item x="1"/>
        <item x="34"/>
        <item x="58"/>
        <item x="16"/>
        <item x="4"/>
        <item x="38"/>
        <item x="22"/>
        <item x="60"/>
        <item x="46"/>
        <item x="54"/>
        <item x="44"/>
        <item x="48"/>
        <item x="17"/>
        <item x="13"/>
        <item x="30"/>
        <item x="12"/>
        <item x="7"/>
        <item x="8"/>
        <item x="6"/>
        <item x="59"/>
        <item x="36"/>
        <item x="52"/>
        <item x="2"/>
        <item x="11"/>
        <item x="49"/>
        <item x="33"/>
        <item x="18"/>
        <item x="5"/>
        <item x="40"/>
        <item x="15"/>
        <item x="31"/>
        <item x="53"/>
        <item x="42"/>
        <item x="20"/>
        <item x="57"/>
        <item x="32"/>
        <item x="47"/>
        <item x="10"/>
        <item x="39"/>
        <item x="51"/>
        <item x="35"/>
        <item x="50"/>
        <item x="24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E4695-EFFA-47F7-B62D-9D17D47123E0}" name="Q1Sales" displayName="Q1Sales" ref="A1:G101" totalsRowShown="0" headerRowDxfId="20">
  <autoFilter ref="A1:G101" xr:uid="{11EE4695-EFFA-47F7-B62D-9D17D47123E0}"/>
  <tableColumns count="7">
    <tableColumn id="1" xr3:uid="{3B87F07C-2EE2-48C9-99C8-2156FB358531}" name="Name"/>
    <tableColumn id="2" xr3:uid="{026B3B71-7A14-49CE-ADD1-41DC7BAF817C}" name="Month">
      <calculatedColumnFormula>TEXT(G2,"MMM")</calculatedColumnFormula>
    </tableColumn>
    <tableColumn id="3" xr3:uid="{7699696D-0374-46C7-BC60-9398B0D4D620}" name="Region"/>
    <tableColumn id="4" xr3:uid="{4A2A8D64-8EA5-410D-8335-0BD9F83E147C}" name="Product"/>
    <tableColumn id="5" xr3:uid="{DCD10F81-7CE4-456A-B2B5-7D646013E3D7}" name="Sales"/>
    <tableColumn id="6" xr3:uid="{F2572E1B-18F6-4F54-824B-2BA84BA2E071}" name="Profit"/>
    <tableColumn id="7" xr3:uid="{63CC6A63-27BF-4E22-80A2-4A08EE9F75C6}" name="Date" dataDxfId="1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4E5028A6-E1BD-44A8-AF03-39006B5A3C80}" sourceName="Date">
  <pivotTables>
    <pivotTable tabId="32" name="PivotTable4"/>
  </pivotTables>
  <state minimalRefreshVersion="6" lastRefreshVersion="6" pivotCacheId="1396984774" filterType="unknown"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13BD6E88-8F3C-4A94-84CD-075644CE02BC}" cache="NativeTimeline_Date" caption="Date" level="3" selectionLevel="3" scrollPosition="2025-03-24T00:00:00"/>
</timeline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0DD9-DF86-4B7A-865C-9613E9F97D73}">
  <sheetPr codeName="Sheet1"/>
  <dimension ref="A1:H11"/>
  <sheetViews>
    <sheetView zoomScale="140" zoomScaleNormal="140" workbookViewId="0">
      <selection activeCell="H2" sqref="H2"/>
    </sheetView>
  </sheetViews>
  <sheetFormatPr defaultRowHeight="15" x14ac:dyDescent="0.25"/>
  <sheetData>
    <row r="1" spans="1:8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15</v>
      </c>
      <c r="H1" s="1" t="s">
        <v>14</v>
      </c>
    </row>
    <row r="2" spans="1:8" x14ac:dyDescent="0.25">
      <c r="A2" t="s">
        <v>0</v>
      </c>
      <c r="B2">
        <v>400</v>
      </c>
      <c r="C2">
        <v>8</v>
      </c>
      <c r="D2">
        <f>B2*C2</f>
        <v>3200</v>
      </c>
      <c r="E2">
        <f>D2*$H$2</f>
        <v>576</v>
      </c>
      <c r="H2" s="2">
        <v>0.18</v>
      </c>
    </row>
    <row r="3" spans="1:8" x14ac:dyDescent="0.25">
      <c r="A3" t="s">
        <v>1</v>
      </c>
      <c r="B3">
        <v>700</v>
      </c>
      <c r="C3">
        <v>6</v>
      </c>
      <c r="D3">
        <f t="shared" ref="D3:D11" si="0">B3*C3</f>
        <v>4200</v>
      </c>
      <c r="E3">
        <f t="shared" ref="E3:E11" si="1">D3*$H$2</f>
        <v>756</v>
      </c>
    </row>
    <row r="4" spans="1:8" x14ac:dyDescent="0.25">
      <c r="A4" t="s">
        <v>2</v>
      </c>
      <c r="B4">
        <v>770</v>
      </c>
      <c r="C4">
        <v>6</v>
      </c>
      <c r="D4">
        <f t="shared" si="0"/>
        <v>4620</v>
      </c>
      <c r="E4">
        <f t="shared" si="1"/>
        <v>831.6</v>
      </c>
    </row>
    <row r="5" spans="1:8" x14ac:dyDescent="0.25">
      <c r="A5" t="s">
        <v>3</v>
      </c>
      <c r="B5">
        <v>150</v>
      </c>
      <c r="C5">
        <v>4</v>
      </c>
      <c r="D5">
        <f t="shared" si="0"/>
        <v>600</v>
      </c>
      <c r="E5">
        <f t="shared" si="1"/>
        <v>108</v>
      </c>
    </row>
    <row r="6" spans="1:8" x14ac:dyDescent="0.25">
      <c r="A6" t="s">
        <v>4</v>
      </c>
      <c r="B6">
        <v>600</v>
      </c>
      <c r="C6">
        <v>5</v>
      </c>
      <c r="D6">
        <f t="shared" si="0"/>
        <v>3000</v>
      </c>
      <c r="E6">
        <f t="shared" si="1"/>
        <v>540</v>
      </c>
    </row>
    <row r="7" spans="1:8" x14ac:dyDescent="0.25">
      <c r="A7" t="s">
        <v>5</v>
      </c>
      <c r="B7">
        <v>580</v>
      </c>
      <c r="C7">
        <v>3</v>
      </c>
      <c r="D7">
        <f t="shared" si="0"/>
        <v>1740</v>
      </c>
      <c r="E7">
        <f t="shared" si="1"/>
        <v>313.2</v>
      </c>
    </row>
    <row r="8" spans="1:8" x14ac:dyDescent="0.25">
      <c r="A8" t="s">
        <v>6</v>
      </c>
      <c r="B8">
        <v>120</v>
      </c>
      <c r="C8">
        <v>5</v>
      </c>
      <c r="D8">
        <f t="shared" si="0"/>
        <v>600</v>
      </c>
      <c r="E8">
        <f t="shared" si="1"/>
        <v>108</v>
      </c>
    </row>
    <row r="9" spans="1:8" x14ac:dyDescent="0.25">
      <c r="A9" t="s">
        <v>7</v>
      </c>
      <c r="B9">
        <v>550</v>
      </c>
      <c r="C9">
        <v>3</v>
      </c>
      <c r="D9">
        <f t="shared" si="0"/>
        <v>1650</v>
      </c>
      <c r="E9">
        <f t="shared" si="1"/>
        <v>297</v>
      </c>
    </row>
    <row r="10" spans="1:8" x14ac:dyDescent="0.25">
      <c r="A10" t="s">
        <v>8</v>
      </c>
      <c r="B10">
        <v>790</v>
      </c>
      <c r="C10">
        <v>6</v>
      </c>
      <c r="D10">
        <f t="shared" si="0"/>
        <v>4740</v>
      </c>
      <c r="E10">
        <f t="shared" si="1"/>
        <v>853.19999999999993</v>
      </c>
    </row>
    <row r="11" spans="1:8" x14ac:dyDescent="0.25">
      <c r="A11" t="s">
        <v>9</v>
      </c>
      <c r="B11">
        <v>400</v>
      </c>
      <c r="C11">
        <v>7</v>
      </c>
      <c r="D11">
        <f t="shared" si="0"/>
        <v>2800</v>
      </c>
      <c r="E11">
        <f t="shared" si="1"/>
        <v>504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7CF4-6235-458A-84C1-1BA3D6D214B4}">
  <sheetPr codeName="Sheet2"/>
  <dimension ref="A1:K11"/>
  <sheetViews>
    <sheetView zoomScale="120" zoomScaleNormal="120" workbookViewId="0">
      <selection activeCell="H15" sqref="H15"/>
    </sheetView>
  </sheetViews>
  <sheetFormatPr defaultRowHeight="15" x14ac:dyDescent="0.25"/>
  <cols>
    <col min="3" max="3" width="15.7109375" customWidth="1"/>
  </cols>
  <sheetData>
    <row r="1" spans="1:11" x14ac:dyDescent="0.25">
      <c r="A1" s="4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</row>
    <row r="2" spans="1:11" x14ac:dyDescent="0.25">
      <c r="A2" s="3">
        <v>1</v>
      </c>
      <c r="B2">
        <f>$A2*B$1</f>
        <v>1</v>
      </c>
      <c r="C2">
        <f t="shared" ref="C2:K2" si="0">$A2*C$1</f>
        <v>2</v>
      </c>
      <c r="D2">
        <f t="shared" si="0"/>
        <v>3</v>
      </c>
      <c r="E2">
        <f t="shared" si="0"/>
        <v>4</v>
      </c>
      <c r="F2">
        <f t="shared" si="0"/>
        <v>5</v>
      </c>
      <c r="G2">
        <f t="shared" si="0"/>
        <v>6</v>
      </c>
      <c r="H2">
        <f t="shared" si="0"/>
        <v>7</v>
      </c>
      <c r="I2">
        <f>$A2*I$1</f>
        <v>8</v>
      </c>
      <c r="J2">
        <f t="shared" si="0"/>
        <v>9</v>
      </c>
      <c r="K2">
        <f t="shared" si="0"/>
        <v>10</v>
      </c>
    </row>
    <row r="3" spans="1:11" x14ac:dyDescent="0.25">
      <c r="A3" s="3">
        <v>2</v>
      </c>
      <c r="B3">
        <f t="shared" ref="B3:K11" si="1">$A3*B$1</f>
        <v>2</v>
      </c>
      <c r="C3">
        <f t="shared" si="1"/>
        <v>4</v>
      </c>
      <c r="D3">
        <f t="shared" si="1"/>
        <v>6</v>
      </c>
      <c r="E3">
        <f t="shared" si="1"/>
        <v>8</v>
      </c>
      <c r="F3">
        <f t="shared" si="1"/>
        <v>10</v>
      </c>
      <c r="G3">
        <f t="shared" si="1"/>
        <v>12</v>
      </c>
      <c r="H3">
        <f t="shared" si="1"/>
        <v>14</v>
      </c>
      <c r="I3">
        <f t="shared" si="1"/>
        <v>16</v>
      </c>
      <c r="J3">
        <f t="shared" si="1"/>
        <v>18</v>
      </c>
      <c r="K3">
        <f t="shared" si="1"/>
        <v>20</v>
      </c>
    </row>
    <row r="4" spans="1:11" x14ac:dyDescent="0.25">
      <c r="A4" s="3">
        <v>3</v>
      </c>
      <c r="B4">
        <f t="shared" si="1"/>
        <v>3</v>
      </c>
      <c r="C4">
        <f t="shared" si="1"/>
        <v>6</v>
      </c>
      <c r="D4">
        <f t="shared" si="1"/>
        <v>9</v>
      </c>
      <c r="E4">
        <f t="shared" si="1"/>
        <v>12</v>
      </c>
      <c r="F4">
        <f t="shared" si="1"/>
        <v>15</v>
      </c>
      <c r="G4">
        <f t="shared" si="1"/>
        <v>18</v>
      </c>
      <c r="H4">
        <f t="shared" si="1"/>
        <v>21</v>
      </c>
      <c r="I4">
        <f t="shared" si="1"/>
        <v>24</v>
      </c>
      <c r="J4">
        <f t="shared" si="1"/>
        <v>27</v>
      </c>
      <c r="K4">
        <f t="shared" si="1"/>
        <v>30</v>
      </c>
    </row>
    <row r="5" spans="1:11" x14ac:dyDescent="0.25">
      <c r="A5" s="3">
        <v>4</v>
      </c>
      <c r="B5">
        <f t="shared" si="1"/>
        <v>4</v>
      </c>
      <c r="C5">
        <f t="shared" si="1"/>
        <v>8</v>
      </c>
      <c r="D5">
        <f t="shared" si="1"/>
        <v>12</v>
      </c>
      <c r="E5">
        <f t="shared" si="1"/>
        <v>16</v>
      </c>
      <c r="F5">
        <f t="shared" si="1"/>
        <v>20</v>
      </c>
      <c r="G5">
        <f t="shared" si="1"/>
        <v>24</v>
      </c>
      <c r="H5">
        <f t="shared" si="1"/>
        <v>28</v>
      </c>
      <c r="I5">
        <f t="shared" si="1"/>
        <v>32</v>
      </c>
      <c r="J5">
        <f t="shared" si="1"/>
        <v>36</v>
      </c>
      <c r="K5">
        <f t="shared" si="1"/>
        <v>40</v>
      </c>
    </row>
    <row r="6" spans="1:11" x14ac:dyDescent="0.25">
      <c r="A6" s="3">
        <v>5</v>
      </c>
      <c r="B6">
        <f t="shared" si="1"/>
        <v>5</v>
      </c>
      <c r="C6">
        <f t="shared" si="1"/>
        <v>10</v>
      </c>
      <c r="D6">
        <f t="shared" si="1"/>
        <v>15</v>
      </c>
      <c r="E6">
        <f t="shared" si="1"/>
        <v>20</v>
      </c>
      <c r="F6">
        <f t="shared" si="1"/>
        <v>25</v>
      </c>
      <c r="G6">
        <f t="shared" si="1"/>
        <v>30</v>
      </c>
      <c r="H6">
        <f t="shared" si="1"/>
        <v>35</v>
      </c>
      <c r="I6">
        <f t="shared" si="1"/>
        <v>40</v>
      </c>
      <c r="J6">
        <f t="shared" si="1"/>
        <v>45</v>
      </c>
      <c r="K6">
        <f t="shared" si="1"/>
        <v>50</v>
      </c>
    </row>
    <row r="7" spans="1:11" x14ac:dyDescent="0.25">
      <c r="A7" s="3">
        <v>6</v>
      </c>
      <c r="B7">
        <f t="shared" si="1"/>
        <v>6</v>
      </c>
      <c r="C7">
        <f t="shared" si="1"/>
        <v>12</v>
      </c>
      <c r="D7">
        <f t="shared" si="1"/>
        <v>18</v>
      </c>
      <c r="E7">
        <f t="shared" si="1"/>
        <v>24</v>
      </c>
      <c r="F7">
        <f t="shared" si="1"/>
        <v>30</v>
      </c>
      <c r="G7">
        <f t="shared" si="1"/>
        <v>36</v>
      </c>
      <c r="H7">
        <f t="shared" si="1"/>
        <v>42</v>
      </c>
      <c r="I7">
        <f t="shared" si="1"/>
        <v>48</v>
      </c>
      <c r="J7">
        <f t="shared" si="1"/>
        <v>54</v>
      </c>
      <c r="K7">
        <f t="shared" si="1"/>
        <v>60</v>
      </c>
    </row>
    <row r="8" spans="1:11" x14ac:dyDescent="0.25">
      <c r="A8" s="3">
        <v>7</v>
      </c>
      <c r="B8">
        <f t="shared" si="1"/>
        <v>7</v>
      </c>
      <c r="C8">
        <f t="shared" si="1"/>
        <v>14</v>
      </c>
      <c r="D8">
        <f t="shared" si="1"/>
        <v>21</v>
      </c>
      <c r="E8">
        <f t="shared" si="1"/>
        <v>28</v>
      </c>
      <c r="F8">
        <f t="shared" si="1"/>
        <v>35</v>
      </c>
      <c r="G8">
        <f t="shared" si="1"/>
        <v>42</v>
      </c>
      <c r="H8">
        <f t="shared" si="1"/>
        <v>49</v>
      </c>
      <c r="I8">
        <f t="shared" si="1"/>
        <v>56</v>
      </c>
      <c r="J8">
        <f t="shared" si="1"/>
        <v>63</v>
      </c>
      <c r="K8">
        <f t="shared" si="1"/>
        <v>70</v>
      </c>
    </row>
    <row r="9" spans="1:11" x14ac:dyDescent="0.25">
      <c r="A9" s="3">
        <v>8</v>
      </c>
      <c r="B9">
        <f t="shared" si="1"/>
        <v>8</v>
      </c>
      <c r="C9">
        <f t="shared" si="1"/>
        <v>16</v>
      </c>
      <c r="D9">
        <f t="shared" si="1"/>
        <v>24</v>
      </c>
      <c r="E9">
        <f t="shared" si="1"/>
        <v>32</v>
      </c>
      <c r="F9">
        <f t="shared" si="1"/>
        <v>40</v>
      </c>
      <c r="G9">
        <f t="shared" si="1"/>
        <v>48</v>
      </c>
      <c r="H9">
        <f t="shared" si="1"/>
        <v>56</v>
      </c>
      <c r="I9">
        <f t="shared" si="1"/>
        <v>64</v>
      </c>
      <c r="J9">
        <f t="shared" si="1"/>
        <v>72</v>
      </c>
      <c r="K9">
        <f t="shared" si="1"/>
        <v>80</v>
      </c>
    </row>
    <row r="10" spans="1:11" x14ac:dyDescent="0.25">
      <c r="A10" s="3">
        <v>9</v>
      </c>
      <c r="B10">
        <f t="shared" si="1"/>
        <v>9</v>
      </c>
      <c r="C10">
        <f t="shared" si="1"/>
        <v>18</v>
      </c>
      <c r="D10">
        <f t="shared" si="1"/>
        <v>27</v>
      </c>
      <c r="E10">
        <f t="shared" si="1"/>
        <v>36</v>
      </c>
      <c r="F10">
        <f t="shared" si="1"/>
        <v>45</v>
      </c>
      <c r="G10">
        <f t="shared" si="1"/>
        <v>54</v>
      </c>
      <c r="H10">
        <f t="shared" si="1"/>
        <v>63</v>
      </c>
      <c r="I10">
        <f t="shared" si="1"/>
        <v>72</v>
      </c>
      <c r="J10">
        <f t="shared" si="1"/>
        <v>81</v>
      </c>
      <c r="K10">
        <f t="shared" si="1"/>
        <v>90</v>
      </c>
    </row>
    <row r="11" spans="1:11" x14ac:dyDescent="0.25">
      <c r="A11" s="3">
        <v>10</v>
      </c>
      <c r="B11">
        <f t="shared" si="1"/>
        <v>10</v>
      </c>
      <c r="C11">
        <f t="shared" si="1"/>
        <v>20</v>
      </c>
      <c r="D11">
        <f t="shared" si="1"/>
        <v>30</v>
      </c>
      <c r="E11">
        <f t="shared" si="1"/>
        <v>40</v>
      </c>
      <c r="F11">
        <f t="shared" si="1"/>
        <v>50</v>
      </c>
      <c r="G11">
        <f t="shared" si="1"/>
        <v>60</v>
      </c>
      <c r="H11">
        <f t="shared" si="1"/>
        <v>70</v>
      </c>
      <c r="I11">
        <f t="shared" si="1"/>
        <v>80</v>
      </c>
      <c r="J11">
        <f t="shared" si="1"/>
        <v>90</v>
      </c>
      <c r="K11">
        <f t="shared" si="1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B1D6-3B8D-4BC7-920D-069D6B901C8C}">
  <sheetPr codeName="Sheet3"/>
  <dimension ref="A1:B5"/>
  <sheetViews>
    <sheetView workbookViewId="0">
      <selection activeCell="B9" sqref="B9"/>
    </sheetView>
  </sheetViews>
  <sheetFormatPr defaultRowHeight="15" x14ac:dyDescent="0.25"/>
  <sheetData>
    <row r="1" spans="1:2" x14ac:dyDescent="0.25">
      <c r="A1" s="6" t="s">
        <v>17</v>
      </c>
      <c r="B1" s="6" t="s">
        <v>19</v>
      </c>
    </row>
    <row r="2" spans="1:2" x14ac:dyDescent="0.25">
      <c r="A2">
        <v>3</v>
      </c>
      <c r="B2">
        <v>0</v>
      </c>
    </row>
    <row r="3" spans="1:2" x14ac:dyDescent="0.25">
      <c r="A3">
        <v>6</v>
      </c>
      <c r="B3">
        <v>7</v>
      </c>
    </row>
    <row r="4" spans="1:2" x14ac:dyDescent="0.25">
      <c r="A4">
        <v>10</v>
      </c>
      <c r="B4">
        <v>1</v>
      </c>
    </row>
    <row r="5" spans="1:2" ht="15.75" thickBot="1" x14ac:dyDescent="0.3">
      <c r="A5" s="5" t="s">
        <v>18</v>
      </c>
      <c r="B5" s="5">
        <v>0</v>
      </c>
    </row>
  </sheetData>
  <sortState xmlns:xlrd2="http://schemas.microsoft.com/office/spreadsheetml/2017/richdata2" ref="A2:A4">
    <sortCondition ref="A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9252-3C52-4586-8425-75FFE6A1F784}">
  <sheetPr codeName="Sheet4"/>
  <dimension ref="A1:B15"/>
  <sheetViews>
    <sheetView workbookViewId="0">
      <selection activeCell="N7" sqref="N7"/>
    </sheetView>
  </sheetViews>
  <sheetFormatPr defaultRowHeight="15" x14ac:dyDescent="0.25"/>
  <cols>
    <col min="1" max="1" width="18" bestFit="1" customWidth="1"/>
    <col min="2" max="2" width="12" bestFit="1" customWidth="1"/>
  </cols>
  <sheetData>
    <row r="1" spans="1:2" x14ac:dyDescent="0.25">
      <c r="A1" s="7" t="s">
        <v>16</v>
      </c>
      <c r="B1" s="7"/>
    </row>
    <row r="3" spans="1:2" x14ac:dyDescent="0.25">
      <c r="A3" t="s">
        <v>20</v>
      </c>
      <c r="B3">
        <v>5.5</v>
      </c>
    </row>
    <row r="4" spans="1:2" x14ac:dyDescent="0.25">
      <c r="A4" t="s">
        <v>21</v>
      </c>
      <c r="B4">
        <v>0.56694670951384085</v>
      </c>
    </row>
    <row r="5" spans="1:2" x14ac:dyDescent="0.25">
      <c r="A5" t="s">
        <v>22</v>
      </c>
      <c r="B5">
        <v>5</v>
      </c>
    </row>
    <row r="6" spans="1:2" x14ac:dyDescent="0.25">
      <c r="A6" t="s">
        <v>23</v>
      </c>
      <c r="B6">
        <v>5</v>
      </c>
    </row>
    <row r="7" spans="1:2" x14ac:dyDescent="0.25">
      <c r="A7" t="s">
        <v>24</v>
      </c>
      <c r="B7">
        <v>1.6035674514745464</v>
      </c>
    </row>
    <row r="8" spans="1:2" x14ac:dyDescent="0.25">
      <c r="A8" t="s">
        <v>25</v>
      </c>
      <c r="B8">
        <v>2.5714285714285716</v>
      </c>
    </row>
    <row r="9" spans="1:2" x14ac:dyDescent="0.25">
      <c r="A9" t="s">
        <v>26</v>
      </c>
      <c r="B9">
        <v>3.4222222222222225</v>
      </c>
    </row>
    <row r="10" spans="1:2" x14ac:dyDescent="0.25">
      <c r="A10" t="s">
        <v>27</v>
      </c>
      <c r="B10">
        <v>1.6629588385661964</v>
      </c>
    </row>
    <row r="11" spans="1:2" x14ac:dyDescent="0.25">
      <c r="A11" t="s">
        <v>28</v>
      </c>
      <c r="B11">
        <v>5</v>
      </c>
    </row>
    <row r="12" spans="1:2" x14ac:dyDescent="0.25">
      <c r="A12" t="s">
        <v>29</v>
      </c>
      <c r="B12">
        <v>4</v>
      </c>
    </row>
    <row r="13" spans="1:2" x14ac:dyDescent="0.25">
      <c r="A13" t="s">
        <v>30</v>
      </c>
      <c r="B13">
        <v>9</v>
      </c>
    </row>
    <row r="14" spans="1:2" x14ac:dyDescent="0.25">
      <c r="A14" t="s">
        <v>31</v>
      </c>
      <c r="B14">
        <v>44</v>
      </c>
    </row>
    <row r="15" spans="1:2" ht="15.75" thickBot="1" x14ac:dyDescent="0.3">
      <c r="A15" s="5" t="s">
        <v>32</v>
      </c>
      <c r="B15" s="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912A-1BD8-4E34-9D15-14A1112FEF43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7" t="s">
        <v>16</v>
      </c>
      <c r="B1" s="7"/>
    </row>
    <row r="3" spans="1:2" x14ac:dyDescent="0.25">
      <c r="A3" t="s">
        <v>20</v>
      </c>
      <c r="B3">
        <v>5.5</v>
      </c>
    </row>
    <row r="4" spans="1:2" x14ac:dyDescent="0.25">
      <c r="A4" t="s">
        <v>21</v>
      </c>
      <c r="B4">
        <v>0.56694670951384085</v>
      </c>
    </row>
    <row r="5" spans="1:2" x14ac:dyDescent="0.25">
      <c r="A5" t="s">
        <v>22</v>
      </c>
      <c r="B5">
        <v>5</v>
      </c>
    </row>
    <row r="6" spans="1:2" x14ac:dyDescent="0.25">
      <c r="A6" t="s">
        <v>23</v>
      </c>
      <c r="B6">
        <v>5</v>
      </c>
    </row>
    <row r="7" spans="1:2" x14ac:dyDescent="0.25">
      <c r="A7" t="s">
        <v>24</v>
      </c>
      <c r="B7">
        <v>1.6035674514745464</v>
      </c>
    </row>
    <row r="8" spans="1:2" x14ac:dyDescent="0.25">
      <c r="A8" t="s">
        <v>25</v>
      </c>
      <c r="B8">
        <v>2.5714285714285716</v>
      </c>
    </row>
    <row r="9" spans="1:2" x14ac:dyDescent="0.25">
      <c r="A9" t="s">
        <v>26</v>
      </c>
      <c r="B9">
        <v>3.4222222222222225</v>
      </c>
    </row>
    <row r="10" spans="1:2" x14ac:dyDescent="0.25">
      <c r="A10" t="s">
        <v>27</v>
      </c>
      <c r="B10">
        <v>1.6629588385661964</v>
      </c>
    </row>
    <row r="11" spans="1:2" x14ac:dyDescent="0.25">
      <c r="A11" t="s">
        <v>28</v>
      </c>
      <c r="B11">
        <v>5</v>
      </c>
    </row>
    <row r="12" spans="1:2" x14ac:dyDescent="0.25">
      <c r="A12" t="s">
        <v>29</v>
      </c>
      <c r="B12">
        <v>4</v>
      </c>
    </row>
    <row r="13" spans="1:2" x14ac:dyDescent="0.25">
      <c r="A13" t="s">
        <v>30</v>
      </c>
      <c r="B13">
        <v>9</v>
      </c>
    </row>
    <row r="14" spans="1:2" x14ac:dyDescent="0.25">
      <c r="A14" t="s">
        <v>31</v>
      </c>
      <c r="B14">
        <v>44</v>
      </c>
    </row>
    <row r="15" spans="1:2" ht="15.75" thickBot="1" x14ac:dyDescent="0.3">
      <c r="A15" s="5" t="s">
        <v>32</v>
      </c>
      <c r="B15" s="5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CEF7-6F97-4206-AC6E-7E845A79B012}">
  <sheetPr codeName="Sheet5"/>
  <dimension ref="A1:P9"/>
  <sheetViews>
    <sheetView topLeftCell="F1" workbookViewId="0">
      <selection activeCell="T17" sqref="T17"/>
    </sheetView>
  </sheetViews>
  <sheetFormatPr defaultRowHeight="15" x14ac:dyDescent="0.25"/>
  <cols>
    <col min="1" max="1" width="15.140625" customWidth="1"/>
  </cols>
  <sheetData>
    <row r="1" spans="1:16" x14ac:dyDescent="0.25">
      <c r="A1" s="1" t="s">
        <v>16</v>
      </c>
      <c r="D1" s="1" t="s">
        <v>17</v>
      </c>
      <c r="F1" t="e">
        <v>#N/A</v>
      </c>
      <c r="P1" t="e">
        <v>#N/A</v>
      </c>
    </row>
    <row r="2" spans="1:16" x14ac:dyDescent="0.25">
      <c r="A2">
        <v>5</v>
      </c>
      <c r="D2">
        <v>3</v>
      </c>
      <c r="F2">
        <f>A2</f>
        <v>5</v>
      </c>
      <c r="P2" t="e">
        <v>#N/A</v>
      </c>
    </row>
    <row r="3" spans="1:16" x14ac:dyDescent="0.25">
      <c r="A3">
        <v>6</v>
      </c>
      <c r="D3">
        <v>6</v>
      </c>
      <c r="F3">
        <f t="shared" ref="F3:F8" si="0">0.7*A3+0.3*F2</f>
        <v>5.6999999999999993</v>
      </c>
      <c r="P3">
        <f t="shared" ref="P3:P8" si="1">AVERAGE(A2:A4)</f>
        <v>6.666666666666667</v>
      </c>
    </row>
    <row r="4" spans="1:16" x14ac:dyDescent="0.25">
      <c r="A4">
        <v>9</v>
      </c>
      <c r="D4">
        <v>10</v>
      </c>
      <c r="F4">
        <f t="shared" si="0"/>
        <v>8.01</v>
      </c>
      <c r="P4">
        <f t="shared" si="1"/>
        <v>6.333333333333333</v>
      </c>
    </row>
    <row r="5" spans="1:16" x14ac:dyDescent="0.25">
      <c r="A5">
        <v>4</v>
      </c>
      <c r="F5">
        <f t="shared" si="0"/>
        <v>5.2029999999999994</v>
      </c>
      <c r="P5">
        <f t="shared" si="1"/>
        <v>5.666666666666667</v>
      </c>
    </row>
    <row r="6" spans="1:16" x14ac:dyDescent="0.25">
      <c r="A6">
        <v>4</v>
      </c>
      <c r="F6">
        <f t="shared" si="0"/>
        <v>4.3608999999999991</v>
      </c>
      <c r="P6">
        <f t="shared" si="1"/>
        <v>4.333333333333333</v>
      </c>
    </row>
    <row r="7" spans="1:16" x14ac:dyDescent="0.25">
      <c r="A7">
        <v>5</v>
      </c>
      <c r="F7">
        <f t="shared" si="0"/>
        <v>4.8082699999999994</v>
      </c>
      <c r="P7">
        <f t="shared" si="1"/>
        <v>4.666666666666667</v>
      </c>
    </row>
    <row r="8" spans="1:16" x14ac:dyDescent="0.25">
      <c r="A8">
        <v>5</v>
      </c>
      <c r="F8">
        <f t="shared" si="0"/>
        <v>4.9424809999999999</v>
      </c>
      <c r="P8">
        <f t="shared" si="1"/>
        <v>5.333333333333333</v>
      </c>
    </row>
    <row r="9" spans="1:16" x14ac:dyDescent="0.25">
      <c r="A9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CACD-C166-4B4C-B4F8-2D0CA14F6528}">
  <dimension ref="A1:J15"/>
  <sheetViews>
    <sheetView zoomScale="110" zoomScaleNormal="110" workbookViewId="0">
      <selection activeCell="P9" sqref="P9"/>
    </sheetView>
  </sheetViews>
  <sheetFormatPr defaultRowHeight="15" x14ac:dyDescent="0.25"/>
  <sheetData>
    <row r="1" spans="1:10" x14ac:dyDescent="0.25">
      <c r="A1">
        <v>289</v>
      </c>
      <c r="B1">
        <v>495</v>
      </c>
      <c r="C1">
        <v>135</v>
      </c>
      <c r="D1">
        <v>259</v>
      </c>
      <c r="E1">
        <v>221</v>
      </c>
      <c r="F1">
        <v>200</v>
      </c>
      <c r="G1">
        <v>471</v>
      </c>
      <c r="H1">
        <v>109</v>
      </c>
      <c r="I1">
        <v>467</v>
      </c>
      <c r="J1">
        <v>222</v>
      </c>
    </row>
    <row r="2" spans="1:10" x14ac:dyDescent="0.25">
      <c r="A2">
        <v>466</v>
      </c>
      <c r="B2">
        <v>356</v>
      </c>
      <c r="C2">
        <v>306</v>
      </c>
      <c r="D2">
        <v>122</v>
      </c>
      <c r="E2">
        <v>395</v>
      </c>
      <c r="F2">
        <v>316</v>
      </c>
      <c r="G2">
        <v>210</v>
      </c>
      <c r="H2">
        <v>313</v>
      </c>
      <c r="I2">
        <v>298</v>
      </c>
      <c r="J2">
        <v>183</v>
      </c>
    </row>
    <row r="3" spans="1:10" x14ac:dyDescent="0.25">
      <c r="A3">
        <v>108</v>
      </c>
      <c r="B3">
        <v>421</v>
      </c>
      <c r="C3">
        <v>257</v>
      </c>
      <c r="D3">
        <v>474</v>
      </c>
      <c r="E3">
        <v>217</v>
      </c>
      <c r="F3">
        <v>429</v>
      </c>
      <c r="G3">
        <v>361</v>
      </c>
      <c r="H3">
        <v>386</v>
      </c>
      <c r="I3">
        <v>273</v>
      </c>
      <c r="J3">
        <v>139</v>
      </c>
    </row>
    <row r="4" spans="1:10" x14ac:dyDescent="0.25">
      <c r="A4">
        <v>386</v>
      </c>
      <c r="B4">
        <v>323</v>
      </c>
      <c r="C4">
        <v>101</v>
      </c>
      <c r="D4">
        <v>355</v>
      </c>
      <c r="E4">
        <v>100</v>
      </c>
      <c r="F4">
        <v>265</v>
      </c>
      <c r="G4">
        <v>188</v>
      </c>
      <c r="H4">
        <v>373</v>
      </c>
      <c r="I4">
        <v>393</v>
      </c>
      <c r="J4">
        <v>482</v>
      </c>
    </row>
    <row r="5" spans="1:10" x14ac:dyDescent="0.25">
      <c r="A5">
        <v>127</v>
      </c>
      <c r="B5">
        <v>100</v>
      </c>
      <c r="C5">
        <v>372</v>
      </c>
      <c r="D5">
        <v>340</v>
      </c>
      <c r="E5">
        <v>393</v>
      </c>
      <c r="F5">
        <v>407</v>
      </c>
      <c r="G5">
        <v>383</v>
      </c>
      <c r="H5">
        <v>473</v>
      </c>
      <c r="I5">
        <v>267</v>
      </c>
      <c r="J5">
        <v>125</v>
      </c>
    </row>
    <row r="6" spans="1:10" x14ac:dyDescent="0.25">
      <c r="A6">
        <v>148</v>
      </c>
      <c r="B6">
        <v>371</v>
      </c>
      <c r="C6">
        <v>169</v>
      </c>
      <c r="D6">
        <v>172</v>
      </c>
      <c r="E6">
        <v>334</v>
      </c>
      <c r="F6">
        <v>116</v>
      </c>
      <c r="G6">
        <v>436</v>
      </c>
      <c r="H6">
        <v>236</v>
      </c>
      <c r="I6">
        <v>332</v>
      </c>
      <c r="J6">
        <v>358</v>
      </c>
    </row>
    <row r="7" spans="1:10" x14ac:dyDescent="0.25">
      <c r="A7">
        <v>191</v>
      </c>
      <c r="B7">
        <v>170</v>
      </c>
      <c r="C7">
        <v>185</v>
      </c>
      <c r="D7">
        <v>150</v>
      </c>
      <c r="E7">
        <v>222</v>
      </c>
      <c r="F7">
        <v>357</v>
      </c>
      <c r="G7">
        <v>110</v>
      </c>
      <c r="H7">
        <v>333</v>
      </c>
      <c r="I7">
        <v>111</v>
      </c>
      <c r="J7">
        <v>444</v>
      </c>
    </row>
    <row r="8" spans="1:10" x14ac:dyDescent="0.25">
      <c r="A8">
        <v>490</v>
      </c>
      <c r="B8">
        <v>352</v>
      </c>
      <c r="C8">
        <v>314</v>
      </c>
      <c r="D8">
        <v>135</v>
      </c>
      <c r="E8">
        <v>453</v>
      </c>
      <c r="F8">
        <v>453</v>
      </c>
      <c r="G8">
        <v>259</v>
      </c>
      <c r="H8">
        <v>311</v>
      </c>
      <c r="I8">
        <v>489</v>
      </c>
      <c r="J8">
        <v>368</v>
      </c>
    </row>
    <row r="9" spans="1:10" x14ac:dyDescent="0.25">
      <c r="A9">
        <v>497</v>
      </c>
      <c r="B9">
        <v>465</v>
      </c>
      <c r="C9">
        <v>481</v>
      </c>
      <c r="D9">
        <v>425</v>
      </c>
      <c r="E9">
        <v>216</v>
      </c>
      <c r="F9">
        <v>283</v>
      </c>
      <c r="G9">
        <v>329</v>
      </c>
      <c r="H9">
        <v>206</v>
      </c>
      <c r="I9">
        <v>174</v>
      </c>
      <c r="J9">
        <v>275</v>
      </c>
    </row>
    <row r="10" spans="1:10" x14ac:dyDescent="0.25">
      <c r="A10">
        <v>190</v>
      </c>
      <c r="B10">
        <v>297</v>
      </c>
      <c r="C10">
        <v>185</v>
      </c>
      <c r="D10">
        <v>421</v>
      </c>
      <c r="E10">
        <v>425</v>
      </c>
      <c r="F10">
        <v>478</v>
      </c>
      <c r="G10">
        <v>120</v>
      </c>
      <c r="H10">
        <v>449</v>
      </c>
      <c r="I10">
        <v>157</v>
      </c>
      <c r="J10">
        <v>389</v>
      </c>
    </row>
    <row r="11" spans="1:10" x14ac:dyDescent="0.25">
      <c r="A11">
        <v>298</v>
      </c>
      <c r="B11">
        <v>157</v>
      </c>
      <c r="C11">
        <v>444</v>
      </c>
      <c r="D11">
        <v>462</v>
      </c>
      <c r="E11">
        <v>413</v>
      </c>
      <c r="F11">
        <v>458</v>
      </c>
      <c r="G11">
        <v>169</v>
      </c>
      <c r="H11">
        <v>240</v>
      </c>
      <c r="I11">
        <v>226</v>
      </c>
      <c r="J11">
        <v>114</v>
      </c>
    </row>
    <row r="12" spans="1:10" x14ac:dyDescent="0.25">
      <c r="A12">
        <v>226</v>
      </c>
      <c r="B12">
        <v>470</v>
      </c>
      <c r="C12">
        <v>205</v>
      </c>
      <c r="D12">
        <v>354</v>
      </c>
      <c r="E12">
        <v>191</v>
      </c>
      <c r="F12">
        <v>320</v>
      </c>
      <c r="G12">
        <v>486</v>
      </c>
      <c r="H12">
        <v>176</v>
      </c>
      <c r="I12">
        <v>361</v>
      </c>
      <c r="J12">
        <v>466</v>
      </c>
    </row>
    <row r="13" spans="1:10" x14ac:dyDescent="0.25">
      <c r="A13">
        <v>164</v>
      </c>
      <c r="B13">
        <v>318</v>
      </c>
      <c r="C13">
        <v>163</v>
      </c>
      <c r="D13">
        <v>105</v>
      </c>
      <c r="E13">
        <v>261</v>
      </c>
      <c r="F13">
        <v>194</v>
      </c>
      <c r="G13">
        <v>436</v>
      </c>
      <c r="H13">
        <v>103</v>
      </c>
      <c r="I13">
        <v>366</v>
      </c>
      <c r="J13">
        <v>349</v>
      </c>
    </row>
    <row r="14" spans="1:10" x14ac:dyDescent="0.25">
      <c r="A14">
        <v>452</v>
      </c>
      <c r="B14">
        <v>333</v>
      </c>
      <c r="C14">
        <v>290</v>
      </c>
      <c r="D14">
        <v>472</v>
      </c>
      <c r="E14">
        <v>477</v>
      </c>
      <c r="F14">
        <v>327</v>
      </c>
      <c r="G14">
        <v>410</v>
      </c>
      <c r="H14">
        <v>274</v>
      </c>
      <c r="I14">
        <v>238</v>
      </c>
      <c r="J14">
        <v>290</v>
      </c>
    </row>
    <row r="15" spans="1:10" x14ac:dyDescent="0.25">
      <c r="A15">
        <v>130</v>
      </c>
      <c r="B15">
        <v>406</v>
      </c>
      <c r="C15">
        <v>431</v>
      </c>
      <c r="D15">
        <v>146</v>
      </c>
      <c r="E15">
        <v>282</v>
      </c>
      <c r="F15">
        <v>321</v>
      </c>
      <c r="G15">
        <v>260</v>
      </c>
      <c r="H15">
        <v>270</v>
      </c>
      <c r="I15">
        <v>285</v>
      </c>
      <c r="J15">
        <v>469</v>
      </c>
    </row>
  </sheetData>
  <conditionalFormatting sqref="A1:J15">
    <cfRule type="cellIs" dxfId="18" priority="1" operator="equal">
      <formula>333</formula>
    </cfRule>
    <cfRule type="cellIs" dxfId="17" priority="2" operator="between">
      <formula>295</formula>
      <formula>305</formula>
    </cfRule>
    <cfRule type="cellIs" dxfId="16" priority="3" operator="lessThan">
      <formula>110</formula>
    </cfRule>
    <cfRule type="cellIs" dxfId="15" priority="4" operator="greaterThan">
      <formula>485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3D7F-30C6-4AC9-A7D3-C4DDB296B769}">
  <dimension ref="A1:M12"/>
  <sheetViews>
    <sheetView zoomScale="110" zoomScaleNormal="110" workbookViewId="0">
      <selection sqref="A1:M12"/>
    </sheetView>
  </sheetViews>
  <sheetFormatPr defaultRowHeight="15" x14ac:dyDescent="0.25"/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</row>
    <row r="3" spans="1:13" x14ac:dyDescent="0.2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</row>
    <row r="4" spans="1:13" x14ac:dyDescent="0.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</row>
    <row r="5" spans="1:13" x14ac:dyDescent="0.25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</row>
    <row r="6" spans="1:13" x14ac:dyDescent="0.25">
      <c r="A6" t="s">
        <v>98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108</v>
      </c>
      <c r="L6" t="s">
        <v>109</v>
      </c>
      <c r="M6" t="s">
        <v>110</v>
      </c>
    </row>
    <row r="7" spans="1:13" x14ac:dyDescent="0.25">
      <c r="A7" t="s">
        <v>111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  <c r="G7" t="s">
        <v>117</v>
      </c>
      <c r="H7" t="s">
        <v>118</v>
      </c>
      <c r="I7" t="s">
        <v>119</v>
      </c>
      <c r="J7" t="s">
        <v>120</v>
      </c>
      <c r="K7" t="s">
        <v>121</v>
      </c>
      <c r="L7" t="s">
        <v>122</v>
      </c>
      <c r="M7" t="s">
        <v>123</v>
      </c>
    </row>
    <row r="8" spans="1:13" x14ac:dyDescent="0.25">
      <c r="A8" t="s">
        <v>124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</row>
    <row r="9" spans="1:13" x14ac:dyDescent="0.25">
      <c r="A9" t="s">
        <v>137</v>
      </c>
      <c r="B9" t="s">
        <v>138</v>
      </c>
      <c r="C9" t="s">
        <v>139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 t="s">
        <v>146</v>
      </c>
      <c r="K9" t="s">
        <v>147</v>
      </c>
      <c r="L9" t="s">
        <v>148</v>
      </c>
      <c r="M9" t="s">
        <v>149</v>
      </c>
    </row>
    <row r="10" spans="1:13" x14ac:dyDescent="0.25">
      <c r="A10" t="s">
        <v>150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  <c r="I10" t="s">
        <v>158</v>
      </c>
      <c r="J10" t="s">
        <v>159</v>
      </c>
      <c r="K10" t="s">
        <v>160</v>
      </c>
      <c r="L10" t="s">
        <v>161</v>
      </c>
      <c r="M10" t="s">
        <v>162</v>
      </c>
    </row>
    <row r="11" spans="1:13" x14ac:dyDescent="0.25">
      <c r="A11" t="s">
        <v>163</v>
      </c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169</v>
      </c>
      <c r="H11" t="s">
        <v>170</v>
      </c>
      <c r="I11" t="s">
        <v>171</v>
      </c>
      <c r="J11" t="s">
        <v>172</v>
      </c>
      <c r="K11" t="s">
        <v>173</v>
      </c>
      <c r="L11" t="s">
        <v>174</v>
      </c>
      <c r="M11" t="s">
        <v>175</v>
      </c>
    </row>
    <row r="12" spans="1:13" x14ac:dyDescent="0.25">
      <c r="A12" t="s">
        <v>176</v>
      </c>
      <c r="B12" t="s">
        <v>177</v>
      </c>
      <c r="C12" t="s">
        <v>178</v>
      </c>
      <c r="D12" t="s">
        <v>179</v>
      </c>
      <c r="E12" t="s">
        <v>180</v>
      </c>
      <c r="F12" t="s">
        <v>181</v>
      </c>
      <c r="G12" t="s">
        <v>182</v>
      </c>
      <c r="H12" t="s">
        <v>183</v>
      </c>
      <c r="I12" t="s">
        <v>184</v>
      </c>
      <c r="J12" t="s">
        <v>185</v>
      </c>
      <c r="K12" t="s">
        <v>186</v>
      </c>
      <c r="L12" t="s">
        <v>187</v>
      </c>
      <c r="M12" t="s">
        <v>188</v>
      </c>
    </row>
  </sheetData>
  <conditionalFormatting sqref="A1:M12">
    <cfRule type="containsText" dxfId="14" priority="1" operator="containsText" text="EE">
      <formula>NOT(ISERROR(SEARCH("EE",A1)))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D0F6-A709-42E7-9139-279E8B483F08}">
  <dimension ref="A1:K16"/>
  <sheetViews>
    <sheetView workbookViewId="0">
      <selection sqref="A1:K16"/>
    </sheetView>
  </sheetViews>
  <sheetFormatPr defaultRowHeight="15" x14ac:dyDescent="0.25"/>
  <sheetData>
    <row r="1" spans="1:11" x14ac:dyDescent="0.25">
      <c r="A1">
        <v>9914</v>
      </c>
      <c r="B1">
        <v>8626</v>
      </c>
      <c r="C1">
        <v>3838</v>
      </c>
      <c r="D1">
        <v>5096</v>
      </c>
      <c r="E1">
        <v>3957</v>
      </c>
      <c r="F1">
        <v>6677</v>
      </c>
      <c r="G1">
        <v>3657</v>
      </c>
      <c r="H1">
        <v>3405</v>
      </c>
      <c r="I1">
        <v>6621</v>
      </c>
      <c r="J1">
        <v>6693</v>
      </c>
      <c r="K1">
        <v>3591</v>
      </c>
    </row>
    <row r="2" spans="1:11" x14ac:dyDescent="0.25">
      <c r="A2">
        <v>2340</v>
      </c>
      <c r="B2">
        <v>3884</v>
      </c>
      <c r="C2">
        <v>7930</v>
      </c>
      <c r="D2">
        <v>7337</v>
      </c>
      <c r="E2">
        <v>9180</v>
      </c>
      <c r="F2">
        <v>4120</v>
      </c>
      <c r="G2">
        <v>3153</v>
      </c>
      <c r="H2">
        <v>8350</v>
      </c>
      <c r="I2">
        <v>8192</v>
      </c>
      <c r="J2">
        <v>3067</v>
      </c>
      <c r="K2">
        <v>4599</v>
      </c>
    </row>
    <row r="3" spans="1:11" x14ac:dyDescent="0.25">
      <c r="A3">
        <v>4110</v>
      </c>
      <c r="B3">
        <v>3238</v>
      </c>
      <c r="C3">
        <v>8273</v>
      </c>
      <c r="D3">
        <v>6904</v>
      </c>
      <c r="E3">
        <v>1790</v>
      </c>
      <c r="F3">
        <v>1105</v>
      </c>
      <c r="G3">
        <v>2326</v>
      </c>
      <c r="H3">
        <v>3103</v>
      </c>
      <c r="I3">
        <v>8473</v>
      </c>
      <c r="J3">
        <v>9101</v>
      </c>
      <c r="K3">
        <v>4585</v>
      </c>
    </row>
    <row r="4" spans="1:11" x14ac:dyDescent="0.25">
      <c r="A4">
        <v>1128</v>
      </c>
      <c r="B4">
        <v>3021</v>
      </c>
      <c r="C4">
        <v>9752</v>
      </c>
      <c r="D4">
        <v>8930</v>
      </c>
      <c r="E4">
        <v>6240</v>
      </c>
      <c r="F4">
        <v>3659</v>
      </c>
      <c r="G4">
        <v>6502</v>
      </c>
      <c r="H4">
        <v>8788</v>
      </c>
      <c r="I4">
        <v>6976</v>
      </c>
      <c r="J4">
        <v>2327</v>
      </c>
      <c r="K4">
        <v>3870</v>
      </c>
    </row>
    <row r="5" spans="1:11" x14ac:dyDescent="0.25">
      <c r="A5">
        <v>8627</v>
      </c>
      <c r="B5">
        <v>6160</v>
      </c>
      <c r="C5">
        <v>3279</v>
      </c>
      <c r="D5">
        <v>2444</v>
      </c>
      <c r="E5">
        <v>6410</v>
      </c>
      <c r="F5">
        <v>9954</v>
      </c>
      <c r="G5">
        <v>8647</v>
      </c>
      <c r="H5">
        <v>7754</v>
      </c>
      <c r="I5">
        <v>6471</v>
      </c>
      <c r="J5">
        <v>3732</v>
      </c>
      <c r="K5">
        <v>5854</v>
      </c>
    </row>
    <row r="6" spans="1:11" x14ac:dyDescent="0.25">
      <c r="A6">
        <v>7901</v>
      </c>
      <c r="B6">
        <v>8169</v>
      </c>
      <c r="C6">
        <v>7992</v>
      </c>
      <c r="D6">
        <v>9417</v>
      </c>
      <c r="E6">
        <v>5639</v>
      </c>
      <c r="F6">
        <v>7875</v>
      </c>
      <c r="G6">
        <v>2453</v>
      </c>
      <c r="H6">
        <v>9788</v>
      </c>
      <c r="I6">
        <v>8389</v>
      </c>
      <c r="J6">
        <v>8233</v>
      </c>
      <c r="K6">
        <v>5011</v>
      </c>
    </row>
    <row r="7" spans="1:11" x14ac:dyDescent="0.25">
      <c r="A7">
        <v>6186</v>
      </c>
      <c r="B7">
        <v>6770</v>
      </c>
      <c r="C7">
        <v>2394</v>
      </c>
      <c r="D7">
        <v>8548</v>
      </c>
      <c r="E7">
        <v>4829</v>
      </c>
      <c r="F7">
        <v>2924</v>
      </c>
      <c r="G7">
        <v>6341</v>
      </c>
      <c r="H7">
        <v>2224</v>
      </c>
      <c r="I7">
        <v>9463</v>
      </c>
      <c r="J7">
        <v>7544</v>
      </c>
      <c r="K7">
        <v>4563</v>
      </c>
    </row>
    <row r="8" spans="1:11" x14ac:dyDescent="0.25">
      <c r="A8">
        <v>4767</v>
      </c>
      <c r="B8">
        <v>7989</v>
      </c>
      <c r="C8">
        <v>8193</v>
      </c>
      <c r="D8">
        <v>6294</v>
      </c>
      <c r="E8">
        <v>8838</v>
      </c>
      <c r="F8">
        <v>6461</v>
      </c>
      <c r="G8">
        <v>5937</v>
      </c>
      <c r="H8">
        <v>6727</v>
      </c>
      <c r="I8">
        <v>3034</v>
      </c>
      <c r="J8">
        <v>1027</v>
      </c>
      <c r="K8">
        <v>8146</v>
      </c>
    </row>
    <row r="9" spans="1:11" x14ac:dyDescent="0.25">
      <c r="A9">
        <v>3037</v>
      </c>
      <c r="B9">
        <v>9899</v>
      </c>
      <c r="C9">
        <v>1967</v>
      </c>
      <c r="D9">
        <v>6009</v>
      </c>
      <c r="E9">
        <v>7688</v>
      </c>
      <c r="F9">
        <v>1131</v>
      </c>
      <c r="G9">
        <v>6383</v>
      </c>
      <c r="H9">
        <v>7555</v>
      </c>
      <c r="I9">
        <v>4234</v>
      </c>
      <c r="J9">
        <v>1491</v>
      </c>
      <c r="K9">
        <v>4525</v>
      </c>
    </row>
    <row r="10" spans="1:11" x14ac:dyDescent="0.25">
      <c r="A10">
        <v>9583</v>
      </c>
      <c r="B10">
        <v>9339</v>
      </c>
      <c r="C10">
        <v>4348</v>
      </c>
      <c r="D10">
        <v>2432</v>
      </c>
      <c r="E10">
        <v>7108</v>
      </c>
      <c r="F10">
        <v>4668</v>
      </c>
      <c r="G10">
        <v>3055</v>
      </c>
      <c r="H10">
        <v>4697</v>
      </c>
      <c r="I10">
        <v>6355</v>
      </c>
      <c r="J10">
        <v>4305</v>
      </c>
      <c r="K10">
        <v>6687</v>
      </c>
    </row>
    <row r="11" spans="1:11" x14ac:dyDescent="0.25">
      <c r="A11">
        <v>5918</v>
      </c>
      <c r="B11">
        <v>6442</v>
      </c>
      <c r="C11">
        <v>4808</v>
      </c>
      <c r="D11">
        <v>4964</v>
      </c>
      <c r="E11">
        <v>5958</v>
      </c>
      <c r="F11">
        <v>1332</v>
      </c>
      <c r="G11">
        <v>1765</v>
      </c>
      <c r="H11">
        <v>2823</v>
      </c>
      <c r="I11">
        <v>4202</v>
      </c>
      <c r="J11">
        <v>1280</v>
      </c>
      <c r="K11">
        <v>2280</v>
      </c>
    </row>
    <row r="12" spans="1:11" x14ac:dyDescent="0.25">
      <c r="A12">
        <v>5995</v>
      </c>
      <c r="B12">
        <v>6736</v>
      </c>
      <c r="C12">
        <v>6237</v>
      </c>
      <c r="D12">
        <v>4266</v>
      </c>
      <c r="E12">
        <v>1589</v>
      </c>
      <c r="F12">
        <v>1582</v>
      </c>
      <c r="G12">
        <v>1837</v>
      </c>
      <c r="H12">
        <v>6145</v>
      </c>
      <c r="I12">
        <v>6475</v>
      </c>
      <c r="J12">
        <v>3918</v>
      </c>
      <c r="K12">
        <v>2060</v>
      </c>
    </row>
    <row r="13" spans="1:11" x14ac:dyDescent="0.25">
      <c r="A13">
        <v>4527</v>
      </c>
      <c r="B13">
        <v>6447</v>
      </c>
      <c r="C13">
        <v>6232</v>
      </c>
      <c r="D13">
        <v>7318</v>
      </c>
      <c r="E13">
        <v>3151</v>
      </c>
      <c r="F13">
        <v>1723</v>
      </c>
      <c r="G13">
        <v>1916</v>
      </c>
      <c r="H13">
        <v>6414</v>
      </c>
      <c r="I13">
        <v>7901</v>
      </c>
      <c r="J13">
        <v>5422</v>
      </c>
      <c r="K13">
        <v>7128</v>
      </c>
    </row>
    <row r="14" spans="1:11" x14ac:dyDescent="0.25">
      <c r="A14">
        <v>3421</v>
      </c>
      <c r="B14">
        <v>2272</v>
      </c>
      <c r="C14">
        <v>6441</v>
      </c>
      <c r="D14">
        <v>2348</v>
      </c>
      <c r="E14">
        <v>8928</v>
      </c>
      <c r="F14">
        <v>5700</v>
      </c>
      <c r="G14">
        <v>7540</v>
      </c>
      <c r="H14">
        <v>4063</v>
      </c>
      <c r="I14">
        <v>1357</v>
      </c>
      <c r="J14">
        <v>2044</v>
      </c>
      <c r="K14">
        <v>4109</v>
      </c>
    </row>
    <row r="15" spans="1:11" x14ac:dyDescent="0.25">
      <c r="A15">
        <v>7443</v>
      </c>
      <c r="B15">
        <v>7183</v>
      </c>
      <c r="C15">
        <v>5614</v>
      </c>
      <c r="D15">
        <v>7641</v>
      </c>
      <c r="E15">
        <v>8677</v>
      </c>
      <c r="F15">
        <v>1954</v>
      </c>
      <c r="G15">
        <v>4504</v>
      </c>
      <c r="H15">
        <v>7620</v>
      </c>
      <c r="I15">
        <v>7228</v>
      </c>
      <c r="J15">
        <v>8162</v>
      </c>
      <c r="K15">
        <v>2956</v>
      </c>
    </row>
    <row r="16" spans="1:11" x14ac:dyDescent="0.25">
      <c r="A16">
        <v>2445</v>
      </c>
      <c r="B16">
        <v>6404</v>
      </c>
      <c r="C16">
        <v>8338</v>
      </c>
      <c r="D16">
        <v>3111</v>
      </c>
      <c r="E16">
        <v>7255</v>
      </c>
      <c r="F16">
        <v>1640</v>
      </c>
      <c r="G16">
        <v>6458</v>
      </c>
      <c r="H16">
        <v>7344</v>
      </c>
      <c r="I16">
        <v>4478</v>
      </c>
      <c r="J16">
        <v>9023</v>
      </c>
      <c r="K16">
        <v>5508</v>
      </c>
    </row>
  </sheetData>
  <conditionalFormatting sqref="A1:K16">
    <cfRule type="duplicateValues" dxfId="1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8EF6-44A9-49C5-BA71-67AA41F6A522}">
  <dimension ref="A1:H16"/>
  <sheetViews>
    <sheetView zoomScale="110" zoomScaleNormal="110" workbookViewId="0">
      <selection activeCell="L9" sqref="L9"/>
    </sheetView>
  </sheetViews>
  <sheetFormatPr defaultRowHeight="15" x14ac:dyDescent="0.25"/>
  <cols>
    <col min="5" max="5" width="14.7109375" customWidth="1"/>
  </cols>
  <sheetData>
    <row r="1" spans="1:8" x14ac:dyDescent="0.25">
      <c r="A1" s="1" t="s">
        <v>189</v>
      </c>
      <c r="E1" s="1" t="s">
        <v>16</v>
      </c>
      <c r="H1" s="1" t="s">
        <v>16</v>
      </c>
    </row>
    <row r="2" spans="1:8" x14ac:dyDescent="0.25">
      <c r="A2">
        <v>65</v>
      </c>
      <c r="E2">
        <v>16</v>
      </c>
      <c r="H2">
        <v>-10</v>
      </c>
    </row>
    <row r="3" spans="1:8" x14ac:dyDescent="0.25">
      <c r="A3">
        <v>35</v>
      </c>
      <c r="E3">
        <v>-4</v>
      </c>
      <c r="H3">
        <v>10</v>
      </c>
    </row>
    <row r="4" spans="1:8" x14ac:dyDescent="0.25">
      <c r="A4">
        <v>81</v>
      </c>
      <c r="E4">
        <v>-5</v>
      </c>
      <c r="H4">
        <v>23</v>
      </c>
    </row>
    <row r="5" spans="1:8" x14ac:dyDescent="0.25">
      <c r="A5">
        <v>48</v>
      </c>
      <c r="E5">
        <v>-3</v>
      </c>
      <c r="H5">
        <v>-5</v>
      </c>
    </row>
    <row r="6" spans="1:8" x14ac:dyDescent="0.25">
      <c r="A6">
        <v>96</v>
      </c>
      <c r="E6">
        <v>18</v>
      </c>
      <c r="H6">
        <v>0</v>
      </c>
    </row>
    <row r="7" spans="1:8" x14ac:dyDescent="0.25">
      <c r="A7">
        <v>87</v>
      </c>
      <c r="E7">
        <v>24</v>
      </c>
      <c r="H7">
        <v>28</v>
      </c>
    </row>
    <row r="8" spans="1:8" x14ac:dyDescent="0.25">
      <c r="A8">
        <v>84</v>
      </c>
      <c r="E8">
        <v>-6</v>
      </c>
      <c r="H8">
        <v>23</v>
      </c>
    </row>
    <row r="9" spans="1:8" x14ac:dyDescent="0.25">
      <c r="A9">
        <v>77</v>
      </c>
      <c r="E9">
        <v>21</v>
      </c>
      <c r="H9">
        <v>27</v>
      </c>
    </row>
    <row r="10" spans="1:8" x14ac:dyDescent="0.25">
      <c r="A10">
        <v>30</v>
      </c>
      <c r="E10">
        <v>14</v>
      </c>
      <c r="H10">
        <v>5</v>
      </c>
    </row>
    <row r="11" spans="1:8" x14ac:dyDescent="0.25">
      <c r="A11">
        <v>91</v>
      </c>
      <c r="E11">
        <v>6</v>
      </c>
      <c r="H11">
        <v>-7</v>
      </c>
    </row>
    <row r="12" spans="1:8" x14ac:dyDescent="0.25">
      <c r="A12">
        <v>57</v>
      </c>
      <c r="E12">
        <v>-1</v>
      </c>
      <c r="H12">
        <v>1</v>
      </c>
    </row>
    <row r="13" spans="1:8" x14ac:dyDescent="0.25">
      <c r="A13">
        <v>65</v>
      </c>
      <c r="E13">
        <v>-8</v>
      </c>
      <c r="H13">
        <v>-2</v>
      </c>
    </row>
    <row r="14" spans="1:8" x14ac:dyDescent="0.25">
      <c r="A14">
        <v>59</v>
      </c>
      <c r="E14">
        <v>1</v>
      </c>
      <c r="H14">
        <v>28</v>
      </c>
    </row>
    <row r="15" spans="1:8" x14ac:dyDescent="0.25">
      <c r="A15">
        <v>23</v>
      </c>
      <c r="E15">
        <v>3</v>
      </c>
      <c r="H15">
        <v>16</v>
      </c>
    </row>
    <row r="16" spans="1:8" x14ac:dyDescent="0.25">
      <c r="A16">
        <v>32</v>
      </c>
      <c r="E16">
        <v>8</v>
      </c>
      <c r="H16">
        <v>-8</v>
      </c>
    </row>
  </sheetData>
  <conditionalFormatting sqref="A2:A16">
    <cfRule type="top10" dxfId="12" priority="5" bottom="1" rank="2"/>
    <cfRule type="top10" dxfId="11" priority="6" rank="2"/>
  </conditionalFormatting>
  <conditionalFormatting sqref="E2:E16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{D9E10996-0A6B-4CBB-AE9F-0D4CF26B546E}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E10996-0A6B-4CBB-AE9F-0D4CF26B5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E2:E16</xm:sqref>
        </x14:conditionalFormatting>
        <x14:conditionalFormatting xmlns:xm="http://schemas.microsoft.com/office/excel/2006/main">
          <x14:cfRule type="iconSet" priority="1" id="{DD7D710A-0FFF-41B9-B623-902729E58F57}">
            <x14:iconSet iconSet="5Quarter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vo type="num" gte="0">
                <xm:f>20</xm:f>
              </x14:cfvo>
              <x14:cfvo type="num">
                <xm:f>25</xm:f>
              </x14:cfvo>
              <x14:cfIcon iconSet="3TrafficLights1" iconId="1"/>
              <x14:cfIcon iconSet="5Quarters" iconId="1"/>
              <x14:cfIcon iconSet="5Quarters" iconId="2"/>
              <x14:cfIcon iconSet="4TrafficLights" iconId="0"/>
              <x14:cfIcon iconSet="3Flags" iconId="2"/>
            </x14:iconSet>
          </x14:cfRule>
          <xm:sqref>H2:H16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4FB4F-6DE2-40CD-97FB-305C3F9734AE}">
  <dimension ref="A1:K17"/>
  <sheetViews>
    <sheetView workbookViewId="0">
      <selection activeCell="K7" sqref="K7"/>
    </sheetView>
  </sheetViews>
  <sheetFormatPr defaultRowHeight="15" x14ac:dyDescent="0.25"/>
  <cols>
    <col min="1" max="1" width="13.42578125" bestFit="1" customWidth="1"/>
    <col min="8" max="8" width="14.42578125" bestFit="1" customWidth="1"/>
  </cols>
  <sheetData>
    <row r="1" spans="1:11" x14ac:dyDescent="0.25">
      <c r="A1" s="1" t="s">
        <v>191</v>
      </c>
      <c r="B1" s="1" t="s">
        <v>190</v>
      </c>
      <c r="H1" s="1" t="s">
        <v>208</v>
      </c>
    </row>
    <row r="2" spans="1:11" x14ac:dyDescent="0.25">
      <c r="A2" t="s">
        <v>192</v>
      </c>
      <c r="B2">
        <v>4</v>
      </c>
      <c r="H2">
        <v>10</v>
      </c>
      <c r="K2" s="8" t="s">
        <v>210</v>
      </c>
    </row>
    <row r="3" spans="1:11" x14ac:dyDescent="0.25">
      <c r="A3" t="s">
        <v>193</v>
      </c>
      <c r="B3">
        <v>1</v>
      </c>
    </row>
    <row r="4" spans="1:11" x14ac:dyDescent="0.25">
      <c r="A4" t="s">
        <v>194</v>
      </c>
      <c r="B4">
        <v>7</v>
      </c>
    </row>
    <row r="5" spans="1:11" x14ac:dyDescent="0.25">
      <c r="A5" t="s">
        <v>195</v>
      </c>
      <c r="B5">
        <v>3</v>
      </c>
    </row>
    <row r="6" spans="1:11" x14ac:dyDescent="0.25">
      <c r="A6" t="s">
        <v>196</v>
      </c>
      <c r="B6">
        <v>9</v>
      </c>
      <c r="H6" s="1" t="s">
        <v>209</v>
      </c>
    </row>
    <row r="7" spans="1:11" x14ac:dyDescent="0.25">
      <c r="A7" t="s">
        <v>197</v>
      </c>
      <c r="B7">
        <v>8</v>
      </c>
      <c r="H7">
        <v>3</v>
      </c>
      <c r="K7" s="8" t="s">
        <v>211</v>
      </c>
    </row>
    <row r="8" spans="1:11" x14ac:dyDescent="0.25">
      <c r="A8" t="s">
        <v>198</v>
      </c>
      <c r="B8">
        <v>5</v>
      </c>
    </row>
    <row r="9" spans="1:11" x14ac:dyDescent="0.25">
      <c r="A9" t="s">
        <v>199</v>
      </c>
      <c r="B9">
        <v>8</v>
      </c>
    </row>
    <row r="10" spans="1:11" x14ac:dyDescent="0.25">
      <c r="A10" t="s">
        <v>200</v>
      </c>
      <c r="B10">
        <v>4</v>
      </c>
    </row>
    <row r="11" spans="1:11" x14ac:dyDescent="0.25">
      <c r="A11" t="s">
        <v>201</v>
      </c>
      <c r="B11">
        <v>5</v>
      </c>
    </row>
    <row r="12" spans="1:11" x14ac:dyDescent="0.25">
      <c r="A12" t="s">
        <v>202</v>
      </c>
      <c r="B12">
        <v>7</v>
      </c>
    </row>
    <row r="13" spans="1:11" x14ac:dyDescent="0.25">
      <c r="A13" t="s">
        <v>203</v>
      </c>
      <c r="B13">
        <v>3</v>
      </c>
    </row>
    <row r="14" spans="1:11" x14ac:dyDescent="0.25">
      <c r="A14" t="s">
        <v>204</v>
      </c>
      <c r="B14">
        <v>10</v>
      </c>
    </row>
    <row r="15" spans="1:11" x14ac:dyDescent="0.25">
      <c r="A15" t="s">
        <v>205</v>
      </c>
      <c r="B15">
        <v>2</v>
      </c>
    </row>
    <row r="16" spans="1:11" x14ac:dyDescent="0.25">
      <c r="A16" t="s">
        <v>206</v>
      </c>
      <c r="B16">
        <v>2</v>
      </c>
    </row>
    <row r="17" spans="1:2" x14ac:dyDescent="0.25">
      <c r="A17" t="s">
        <v>207</v>
      </c>
      <c r="B17">
        <v>5</v>
      </c>
    </row>
  </sheetData>
  <phoneticPr fontId="2" type="noConversion"/>
  <conditionalFormatting sqref="B2:B17">
    <cfRule type="expression" dxfId="10" priority="1">
      <formula>B2&lt;=$H$7</formula>
    </cfRule>
    <cfRule type="expression" dxfId="9" priority="2">
      <formula>B2&gt;=$H$2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E148-8277-4C1B-989B-C52C156DCAFE}">
  <dimension ref="A1:L17"/>
  <sheetViews>
    <sheetView workbookViewId="0">
      <selection sqref="A1:L17"/>
    </sheetView>
  </sheetViews>
  <sheetFormatPr defaultRowHeight="15" x14ac:dyDescent="0.25"/>
  <sheetData>
    <row r="1" spans="1:12" x14ac:dyDescent="0.25">
      <c r="A1">
        <v>56</v>
      </c>
      <c r="B1">
        <v>368</v>
      </c>
      <c r="C1">
        <v>807</v>
      </c>
      <c r="D1">
        <v>558</v>
      </c>
      <c r="E1">
        <v>439</v>
      </c>
      <c r="F1">
        <v>325</v>
      </c>
      <c r="G1">
        <v>748</v>
      </c>
      <c r="H1">
        <v>281</v>
      </c>
      <c r="I1">
        <v>431</v>
      </c>
      <c r="J1">
        <v>834</v>
      </c>
      <c r="K1">
        <v>504</v>
      </c>
      <c r="L1">
        <v>738</v>
      </c>
    </row>
    <row r="2" spans="1:12" x14ac:dyDescent="0.25">
      <c r="A2">
        <v>572</v>
      </c>
      <c r="B2">
        <v>107</v>
      </c>
      <c r="C2">
        <v>964</v>
      </c>
      <c r="D2">
        <v>234</v>
      </c>
      <c r="E2">
        <v>681</v>
      </c>
      <c r="F2">
        <v>738</v>
      </c>
      <c r="G2">
        <v>698</v>
      </c>
      <c r="H2">
        <v>22</v>
      </c>
      <c r="J2">
        <v>893</v>
      </c>
      <c r="K2">
        <v>832</v>
      </c>
      <c r="L2">
        <v>74</v>
      </c>
    </row>
    <row r="3" spans="1:12" x14ac:dyDescent="0.25">
      <c r="A3">
        <v>210</v>
      </c>
      <c r="B3">
        <v>843</v>
      </c>
      <c r="C3">
        <v>895</v>
      </c>
      <c r="D3">
        <v>375</v>
      </c>
      <c r="E3">
        <v>395</v>
      </c>
      <c r="F3">
        <v>152</v>
      </c>
      <c r="G3">
        <v>17</v>
      </c>
      <c r="H3">
        <v>406</v>
      </c>
      <c r="I3">
        <v>353</v>
      </c>
      <c r="J3">
        <v>446</v>
      </c>
      <c r="K3">
        <v>371</v>
      </c>
      <c r="L3">
        <v>744</v>
      </c>
    </row>
    <row r="4" spans="1:12" x14ac:dyDescent="0.25">
      <c r="A4">
        <v>502</v>
      </c>
      <c r="B4">
        <v>399</v>
      </c>
      <c r="C4">
        <v>423</v>
      </c>
      <c r="D4">
        <v>883</v>
      </c>
      <c r="E4">
        <v>507</v>
      </c>
      <c r="F4">
        <v>638</v>
      </c>
      <c r="G4">
        <v>763</v>
      </c>
      <c r="H4">
        <v>303</v>
      </c>
      <c r="I4">
        <v>899</v>
      </c>
      <c r="J4">
        <v>533</v>
      </c>
      <c r="K4">
        <v>683</v>
      </c>
      <c r="L4">
        <v>792</v>
      </c>
    </row>
    <row r="5" spans="1:12" x14ac:dyDescent="0.25">
      <c r="A5">
        <v>73</v>
      </c>
      <c r="B5">
        <v>430</v>
      </c>
      <c r="D5">
        <v>180</v>
      </c>
      <c r="E5">
        <v>623</v>
      </c>
      <c r="F5">
        <v>416</v>
      </c>
      <c r="G5">
        <v>939</v>
      </c>
      <c r="H5">
        <v>259</v>
      </c>
      <c r="I5">
        <v>289</v>
      </c>
      <c r="J5">
        <v>201</v>
      </c>
      <c r="K5">
        <v>398</v>
      </c>
      <c r="L5">
        <v>844</v>
      </c>
    </row>
    <row r="6" spans="1:12" x14ac:dyDescent="0.25">
      <c r="A6">
        <v>355</v>
      </c>
      <c r="B6">
        <v>341</v>
      </c>
      <c r="C6">
        <v>827</v>
      </c>
      <c r="D6">
        <v>683</v>
      </c>
      <c r="E6">
        <v>2</v>
      </c>
      <c r="F6">
        <v>804</v>
      </c>
      <c r="G6">
        <v>395</v>
      </c>
      <c r="H6">
        <v>589</v>
      </c>
      <c r="I6">
        <v>365</v>
      </c>
      <c r="J6">
        <v>775</v>
      </c>
      <c r="K6">
        <v>76</v>
      </c>
      <c r="L6">
        <v>692</v>
      </c>
    </row>
    <row r="7" spans="1:12" x14ac:dyDescent="0.25">
      <c r="A7">
        <v>947</v>
      </c>
      <c r="B7">
        <v>675</v>
      </c>
      <c r="C7">
        <v>325</v>
      </c>
      <c r="D7">
        <v>49</v>
      </c>
      <c r="E7">
        <v>232</v>
      </c>
      <c r="F7">
        <v>749</v>
      </c>
      <c r="G7">
        <v>117</v>
      </c>
      <c r="H7">
        <v>191</v>
      </c>
      <c r="I7">
        <v>925</v>
      </c>
      <c r="J7">
        <v>894</v>
      </c>
      <c r="K7">
        <v>160</v>
      </c>
      <c r="L7">
        <v>82</v>
      </c>
    </row>
    <row r="8" spans="1:12" x14ac:dyDescent="0.25">
      <c r="A8">
        <v>114</v>
      </c>
      <c r="B8">
        <v>684</v>
      </c>
      <c r="C8">
        <v>178</v>
      </c>
      <c r="D8">
        <v>313</v>
      </c>
      <c r="E8">
        <v>241</v>
      </c>
      <c r="F8">
        <v>300</v>
      </c>
      <c r="G8">
        <v>496</v>
      </c>
      <c r="H8">
        <v>953</v>
      </c>
      <c r="I8">
        <v>153</v>
      </c>
      <c r="J8">
        <v>542</v>
      </c>
      <c r="K8">
        <v>447</v>
      </c>
      <c r="L8">
        <v>797</v>
      </c>
    </row>
    <row r="9" spans="1:12" x14ac:dyDescent="0.25">
      <c r="A9">
        <v>208</v>
      </c>
      <c r="B9">
        <v>674</v>
      </c>
      <c r="C9">
        <v>591</v>
      </c>
      <c r="D9">
        <v>103</v>
      </c>
      <c r="E9">
        <v>871</v>
      </c>
      <c r="F9">
        <v>100</v>
      </c>
      <c r="G9">
        <v>766</v>
      </c>
      <c r="H9">
        <v>650</v>
      </c>
      <c r="J9">
        <v>198</v>
      </c>
      <c r="K9">
        <v>755</v>
      </c>
      <c r="L9">
        <v>498</v>
      </c>
    </row>
    <row r="10" spans="1:12" x14ac:dyDescent="0.25">
      <c r="A10">
        <v>435</v>
      </c>
      <c r="B10">
        <v>275</v>
      </c>
      <c r="C10">
        <v>630</v>
      </c>
      <c r="D10">
        <v>348</v>
      </c>
      <c r="E10">
        <v>35</v>
      </c>
      <c r="F10">
        <v>703</v>
      </c>
      <c r="G10">
        <v>135</v>
      </c>
      <c r="H10">
        <v>279</v>
      </c>
      <c r="I10">
        <v>939</v>
      </c>
      <c r="J10">
        <v>235</v>
      </c>
      <c r="K10">
        <v>304</v>
      </c>
      <c r="L10">
        <v>395</v>
      </c>
    </row>
    <row r="11" spans="1:12" x14ac:dyDescent="0.25">
      <c r="A11">
        <v>53</v>
      </c>
      <c r="B11">
        <v>678</v>
      </c>
      <c r="C11">
        <v>922</v>
      </c>
      <c r="D11">
        <v>958</v>
      </c>
      <c r="F11">
        <v>170</v>
      </c>
      <c r="G11">
        <v>341</v>
      </c>
      <c r="H11">
        <v>836</v>
      </c>
      <c r="I11">
        <v>207</v>
      </c>
      <c r="J11">
        <v>212</v>
      </c>
      <c r="K11">
        <v>167</v>
      </c>
      <c r="L11">
        <v>458</v>
      </c>
    </row>
    <row r="12" spans="1:12" x14ac:dyDescent="0.25">
      <c r="A12">
        <v>210</v>
      </c>
      <c r="B12">
        <v>826</v>
      </c>
      <c r="C12">
        <v>753</v>
      </c>
      <c r="D12">
        <v>855</v>
      </c>
      <c r="E12">
        <v>562</v>
      </c>
      <c r="F12">
        <v>243</v>
      </c>
      <c r="G12">
        <v>518</v>
      </c>
      <c r="H12">
        <v>565</v>
      </c>
      <c r="I12">
        <v>313</v>
      </c>
      <c r="J12">
        <v>80</v>
      </c>
      <c r="K12">
        <v>211</v>
      </c>
      <c r="L12">
        <v>965</v>
      </c>
    </row>
    <row r="13" spans="1:12" x14ac:dyDescent="0.25">
      <c r="A13">
        <v>40</v>
      </c>
      <c r="B13">
        <v>520</v>
      </c>
      <c r="C13">
        <v>497</v>
      </c>
      <c r="D13">
        <v>407</v>
      </c>
      <c r="E13">
        <v>675</v>
      </c>
      <c r="F13">
        <v>748</v>
      </c>
      <c r="G13">
        <v>774</v>
      </c>
      <c r="H13">
        <v>194</v>
      </c>
      <c r="I13">
        <v>399</v>
      </c>
      <c r="J13">
        <v>4</v>
      </c>
      <c r="K13">
        <v>556</v>
      </c>
      <c r="L13">
        <v>842</v>
      </c>
    </row>
    <row r="14" spans="1:12" x14ac:dyDescent="0.25">
      <c r="A14">
        <v>816</v>
      </c>
      <c r="B14">
        <v>8</v>
      </c>
      <c r="C14">
        <v>209</v>
      </c>
      <c r="D14">
        <v>833</v>
      </c>
      <c r="E14">
        <v>628</v>
      </c>
      <c r="F14">
        <v>907</v>
      </c>
      <c r="G14">
        <v>961</v>
      </c>
      <c r="H14">
        <v>777</v>
      </c>
      <c r="I14">
        <v>910</v>
      </c>
      <c r="J14">
        <v>503</v>
      </c>
      <c r="K14">
        <v>446</v>
      </c>
      <c r="L14">
        <v>626</v>
      </c>
    </row>
    <row r="15" spans="1:12" x14ac:dyDescent="0.25">
      <c r="A15">
        <v>258</v>
      </c>
      <c r="B15">
        <v>419</v>
      </c>
      <c r="C15">
        <v>381</v>
      </c>
      <c r="D15">
        <v>506</v>
      </c>
      <c r="E15">
        <v>737</v>
      </c>
      <c r="F15">
        <v>475</v>
      </c>
      <c r="G15">
        <v>387</v>
      </c>
      <c r="H15">
        <v>268</v>
      </c>
      <c r="I15">
        <v>907</v>
      </c>
      <c r="J15">
        <v>344</v>
      </c>
      <c r="K15">
        <v>817</v>
      </c>
      <c r="L15">
        <v>713</v>
      </c>
    </row>
    <row r="16" spans="1:12" x14ac:dyDescent="0.25">
      <c r="A16">
        <v>571</v>
      </c>
      <c r="B16">
        <v>268</v>
      </c>
      <c r="C16">
        <v>407</v>
      </c>
      <c r="D16">
        <v>875</v>
      </c>
      <c r="E16">
        <v>128</v>
      </c>
      <c r="F16">
        <v>594</v>
      </c>
      <c r="G16">
        <v>807</v>
      </c>
      <c r="H16">
        <v>115</v>
      </c>
      <c r="I16">
        <v>145</v>
      </c>
      <c r="J16">
        <v>453</v>
      </c>
      <c r="K16">
        <v>259</v>
      </c>
      <c r="L16">
        <v>678</v>
      </c>
    </row>
    <row r="17" spans="1:12" x14ac:dyDescent="0.25">
      <c r="A17">
        <v>908</v>
      </c>
      <c r="B17">
        <v>922</v>
      </c>
      <c r="C17">
        <v>861</v>
      </c>
      <c r="D17">
        <v>353</v>
      </c>
      <c r="E17">
        <v>931</v>
      </c>
      <c r="F17">
        <v>174</v>
      </c>
      <c r="G17">
        <v>611</v>
      </c>
      <c r="H17">
        <v>23</v>
      </c>
      <c r="I17">
        <v>77</v>
      </c>
      <c r="J17">
        <v>907</v>
      </c>
      <c r="K17">
        <v>96</v>
      </c>
      <c r="L17">
        <v>484</v>
      </c>
    </row>
  </sheetData>
  <conditionalFormatting sqref="A1:L17">
    <cfRule type="expression" dxfId="8" priority="1">
      <formula>ISBLANK(A1)</formula>
    </cfRule>
    <cfRule type="expression" dxfId="7" priority="2">
      <formula>ISBLANK(A1)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EB1A-942E-426D-9422-7513788B4CD1}">
  <dimension ref="B5:G8"/>
  <sheetViews>
    <sheetView workbookViewId="0">
      <selection activeCell="G11" sqref="G11"/>
    </sheetView>
  </sheetViews>
  <sheetFormatPr defaultRowHeight="15" x14ac:dyDescent="0.25"/>
  <sheetData>
    <row r="5" spans="2:7" x14ac:dyDescent="0.25">
      <c r="D5">
        <v>234</v>
      </c>
      <c r="G5">
        <v>343</v>
      </c>
    </row>
    <row r="8" spans="2:7" x14ac:dyDescent="0.25">
      <c r="B8">
        <v>45</v>
      </c>
    </row>
  </sheetData>
  <conditionalFormatting sqref="A1:K17">
    <cfRule type="expression" dxfId="6" priority="1">
      <formula>NOT(ISBLANK(A1))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8672-40FE-414E-9036-52E1D7699A7D}">
  <dimension ref="A1:Q15"/>
  <sheetViews>
    <sheetView topLeftCell="B1" workbookViewId="0">
      <selection activeCell="Q9" sqref="Q9"/>
    </sheetView>
  </sheetViews>
  <sheetFormatPr defaultRowHeight="15" x14ac:dyDescent="0.25"/>
  <sheetData>
    <row r="1" spans="1:17" x14ac:dyDescent="0.25">
      <c r="A1">
        <v>50</v>
      </c>
      <c r="B1">
        <v>27</v>
      </c>
      <c r="C1">
        <v>24</v>
      </c>
      <c r="D1">
        <v>11</v>
      </c>
      <c r="E1">
        <v>81</v>
      </c>
      <c r="F1">
        <v>12</v>
      </c>
      <c r="G1">
        <v>34</v>
      </c>
      <c r="H1">
        <v>14</v>
      </c>
      <c r="I1">
        <v>14</v>
      </c>
      <c r="J1">
        <v>91</v>
      </c>
      <c r="M1" t="s">
        <v>212</v>
      </c>
      <c r="N1" t="s">
        <v>213</v>
      </c>
      <c r="O1" t="s">
        <v>214</v>
      </c>
    </row>
    <row r="2" spans="1:17" x14ac:dyDescent="0.25">
      <c r="A2">
        <v>1</v>
      </c>
      <c r="B2">
        <v>45</v>
      </c>
      <c r="C2">
        <v>13</v>
      </c>
      <c r="D2">
        <v>56</v>
      </c>
      <c r="E2">
        <v>67</v>
      </c>
      <c r="F2">
        <v>3</v>
      </c>
      <c r="G2">
        <v>93</v>
      </c>
      <c r="H2">
        <v>80</v>
      </c>
      <c r="I2">
        <v>89</v>
      </c>
      <c r="J2">
        <v>2</v>
      </c>
      <c r="M2" t="s">
        <v>213</v>
      </c>
      <c r="N2" t="s">
        <v>215</v>
      </c>
      <c r="O2" t="s">
        <v>215</v>
      </c>
    </row>
    <row r="3" spans="1:17" x14ac:dyDescent="0.25">
      <c r="A3">
        <v>65</v>
      </c>
      <c r="B3">
        <v>54</v>
      </c>
      <c r="C3">
        <v>56</v>
      </c>
      <c r="D3">
        <v>100</v>
      </c>
      <c r="E3">
        <v>17</v>
      </c>
      <c r="F3">
        <v>72</v>
      </c>
      <c r="G3">
        <v>61</v>
      </c>
      <c r="H3">
        <v>66</v>
      </c>
      <c r="I3">
        <v>93</v>
      </c>
      <c r="J3">
        <v>86</v>
      </c>
      <c r="M3" t="s">
        <v>212</v>
      </c>
      <c r="N3" t="s">
        <v>213</v>
      </c>
      <c r="O3" t="s">
        <v>215</v>
      </c>
      <c r="Q3">
        <f>COUNTIF(M1:O15,"Python")</f>
        <v>12</v>
      </c>
    </row>
    <row r="4" spans="1:17" x14ac:dyDescent="0.25">
      <c r="A4">
        <v>5</v>
      </c>
      <c r="B4">
        <v>93</v>
      </c>
      <c r="C4">
        <v>80</v>
      </c>
      <c r="D4">
        <v>56</v>
      </c>
      <c r="E4">
        <v>31</v>
      </c>
      <c r="F4">
        <v>15</v>
      </c>
      <c r="G4">
        <v>24</v>
      </c>
      <c r="H4">
        <v>20</v>
      </c>
      <c r="I4">
        <v>61</v>
      </c>
      <c r="J4">
        <v>21</v>
      </c>
      <c r="M4" t="s">
        <v>213</v>
      </c>
      <c r="N4" t="s">
        <v>212</v>
      </c>
      <c r="O4" t="s">
        <v>213</v>
      </c>
      <c r="Q4">
        <f>COUNTIF(M1:O15,"Excel")</f>
        <v>13</v>
      </c>
    </row>
    <row r="5" spans="1:17" x14ac:dyDescent="0.25">
      <c r="A5">
        <v>87</v>
      </c>
      <c r="B5">
        <v>28</v>
      </c>
      <c r="C5">
        <v>52</v>
      </c>
      <c r="D5">
        <v>64</v>
      </c>
      <c r="E5">
        <v>73</v>
      </c>
      <c r="F5">
        <v>34</v>
      </c>
      <c r="G5">
        <v>38</v>
      </c>
      <c r="H5">
        <v>81</v>
      </c>
      <c r="I5">
        <v>65</v>
      </c>
      <c r="J5">
        <v>57</v>
      </c>
      <c r="M5" t="s">
        <v>212</v>
      </c>
      <c r="N5" t="s">
        <v>212</v>
      </c>
      <c r="O5" t="s">
        <v>212</v>
      </c>
      <c r="Q5">
        <f>COUNTIF(M1:O15,"Pandas")</f>
        <v>1</v>
      </c>
    </row>
    <row r="6" spans="1:17" x14ac:dyDescent="0.25">
      <c r="A6">
        <v>15</v>
      </c>
      <c r="B6">
        <v>21</v>
      </c>
      <c r="C6">
        <v>78</v>
      </c>
      <c r="D6">
        <v>73</v>
      </c>
      <c r="E6">
        <v>11</v>
      </c>
      <c r="F6">
        <v>5</v>
      </c>
      <c r="G6">
        <v>19</v>
      </c>
      <c r="H6">
        <v>97</v>
      </c>
      <c r="I6">
        <v>16</v>
      </c>
      <c r="J6">
        <v>75</v>
      </c>
      <c r="M6" t="s">
        <v>213</v>
      </c>
      <c r="N6" t="s">
        <v>214</v>
      </c>
      <c r="O6" t="s">
        <v>212</v>
      </c>
      <c r="Q6">
        <f>COUNTIF(M1:O15,"ML")</f>
        <v>0</v>
      </c>
    </row>
    <row r="7" spans="1:17" x14ac:dyDescent="0.25">
      <c r="A7">
        <v>95</v>
      </c>
      <c r="B7">
        <v>73</v>
      </c>
      <c r="C7">
        <v>45</v>
      </c>
      <c r="D7">
        <v>47</v>
      </c>
      <c r="E7">
        <v>43</v>
      </c>
      <c r="F7">
        <v>90</v>
      </c>
      <c r="G7">
        <v>62</v>
      </c>
      <c r="H7">
        <v>59</v>
      </c>
      <c r="I7">
        <v>24</v>
      </c>
      <c r="J7">
        <v>39</v>
      </c>
      <c r="M7" t="s">
        <v>213</v>
      </c>
      <c r="N7" t="s">
        <v>215</v>
      </c>
      <c r="O7" t="s">
        <v>213</v>
      </c>
    </row>
    <row r="8" spans="1:17" x14ac:dyDescent="0.25">
      <c r="A8">
        <v>74</v>
      </c>
      <c r="B8">
        <v>24</v>
      </c>
      <c r="C8">
        <v>60</v>
      </c>
      <c r="D8">
        <v>87</v>
      </c>
      <c r="E8">
        <v>89</v>
      </c>
      <c r="F8">
        <v>95</v>
      </c>
      <c r="G8">
        <v>97</v>
      </c>
      <c r="H8">
        <v>72</v>
      </c>
      <c r="I8">
        <v>12</v>
      </c>
      <c r="J8">
        <v>7</v>
      </c>
      <c r="M8" t="s">
        <v>213</v>
      </c>
      <c r="N8" t="s">
        <v>212</v>
      </c>
      <c r="O8" t="s">
        <v>214</v>
      </c>
    </row>
    <row r="9" spans="1:17" x14ac:dyDescent="0.25">
      <c r="A9">
        <v>16</v>
      </c>
      <c r="B9">
        <v>70</v>
      </c>
      <c r="C9">
        <v>95</v>
      </c>
      <c r="D9">
        <v>61</v>
      </c>
      <c r="E9">
        <v>99</v>
      </c>
      <c r="F9">
        <v>12</v>
      </c>
      <c r="G9">
        <v>89</v>
      </c>
      <c r="H9">
        <v>30</v>
      </c>
      <c r="I9">
        <v>40</v>
      </c>
      <c r="J9">
        <v>7</v>
      </c>
      <c r="M9" t="s">
        <v>212</v>
      </c>
      <c r="N9" t="s">
        <v>216</v>
      </c>
      <c r="O9" t="s">
        <v>215</v>
      </c>
    </row>
    <row r="10" spans="1:17" x14ac:dyDescent="0.25">
      <c r="A10">
        <v>62</v>
      </c>
      <c r="B10">
        <v>65</v>
      </c>
      <c r="C10">
        <v>24</v>
      </c>
      <c r="D10">
        <v>72</v>
      </c>
      <c r="E10">
        <v>96</v>
      </c>
      <c r="F10">
        <v>81</v>
      </c>
      <c r="G10">
        <v>92</v>
      </c>
      <c r="H10">
        <v>99</v>
      </c>
      <c r="I10">
        <v>83</v>
      </c>
      <c r="J10">
        <v>17</v>
      </c>
      <c r="M10" t="s">
        <v>215</v>
      </c>
      <c r="N10" t="s">
        <v>215</v>
      </c>
      <c r="O10" t="s">
        <v>212</v>
      </c>
    </row>
    <row r="11" spans="1:17" x14ac:dyDescent="0.25">
      <c r="M11" t="s">
        <v>212</v>
      </c>
      <c r="N11" t="s">
        <v>213</v>
      </c>
      <c r="O11" t="s">
        <v>213</v>
      </c>
    </row>
    <row r="12" spans="1:17" x14ac:dyDescent="0.25">
      <c r="M12" t="s">
        <v>212</v>
      </c>
      <c r="N12" t="s">
        <v>215</v>
      </c>
      <c r="O12" t="s">
        <v>213</v>
      </c>
    </row>
    <row r="13" spans="1:17" x14ac:dyDescent="0.25">
      <c r="M13" t="s">
        <v>213</v>
      </c>
      <c r="N13" t="s">
        <v>215</v>
      </c>
      <c r="O13" t="s">
        <v>214</v>
      </c>
    </row>
    <row r="14" spans="1:17" x14ac:dyDescent="0.25">
      <c r="M14" t="s">
        <v>215</v>
      </c>
      <c r="N14" t="s">
        <v>214</v>
      </c>
      <c r="O14" t="s">
        <v>214</v>
      </c>
    </row>
    <row r="15" spans="1:17" x14ac:dyDescent="0.25">
      <c r="M15" t="s">
        <v>214</v>
      </c>
      <c r="N15" t="s">
        <v>215</v>
      </c>
      <c r="O15" t="s">
        <v>215</v>
      </c>
    </row>
  </sheetData>
  <conditionalFormatting sqref="A1:J10">
    <cfRule type="expression" dxfId="5" priority="1">
      <formula>COUNTIF($A$1:$J$10,A1)=1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EDF2-C604-4777-9E95-B7AB86A6FC53}">
  <dimension ref="A1:N14"/>
  <sheetViews>
    <sheetView workbookViewId="0">
      <selection activeCell="N11" sqref="N11"/>
    </sheetView>
  </sheetViews>
  <sheetFormatPr defaultRowHeight="15" x14ac:dyDescent="0.25"/>
  <sheetData>
    <row r="1" spans="1:14" x14ac:dyDescent="0.25">
      <c r="A1">
        <v>248</v>
      </c>
      <c r="B1">
        <v>242</v>
      </c>
      <c r="C1">
        <v>168</v>
      </c>
      <c r="D1">
        <v>139</v>
      </c>
      <c r="E1">
        <v>45</v>
      </c>
      <c r="F1">
        <v>305</v>
      </c>
      <c r="G1">
        <v>291</v>
      </c>
      <c r="H1">
        <v>160</v>
      </c>
      <c r="I1">
        <v>34</v>
      </c>
      <c r="J1">
        <v>292</v>
      </c>
    </row>
    <row r="2" spans="1:14" x14ac:dyDescent="0.25">
      <c r="A2">
        <v>347</v>
      </c>
      <c r="B2">
        <v>252</v>
      </c>
      <c r="C2">
        <v>291</v>
      </c>
      <c r="D2">
        <v>348</v>
      </c>
      <c r="E2">
        <v>261</v>
      </c>
      <c r="F2">
        <v>222</v>
      </c>
      <c r="G2">
        <v>329</v>
      </c>
      <c r="H2">
        <v>66</v>
      </c>
      <c r="I2">
        <v>318</v>
      </c>
      <c r="J2">
        <v>56</v>
      </c>
    </row>
    <row r="3" spans="1:14" x14ac:dyDescent="0.25">
      <c r="A3">
        <v>88</v>
      </c>
      <c r="B3">
        <v>1</v>
      </c>
      <c r="C3">
        <v>297</v>
      </c>
      <c r="D3">
        <v>319</v>
      </c>
      <c r="E3">
        <v>295</v>
      </c>
      <c r="F3">
        <v>118</v>
      </c>
      <c r="G3">
        <v>144</v>
      </c>
      <c r="H3">
        <v>218</v>
      </c>
      <c r="I3">
        <v>115</v>
      </c>
      <c r="J3">
        <v>289</v>
      </c>
    </row>
    <row r="4" spans="1:14" x14ac:dyDescent="0.25">
      <c r="A4">
        <v>131</v>
      </c>
      <c r="B4">
        <v>226</v>
      </c>
      <c r="C4">
        <v>119</v>
      </c>
      <c r="D4">
        <v>161</v>
      </c>
      <c r="E4">
        <v>368</v>
      </c>
      <c r="F4">
        <v>34</v>
      </c>
      <c r="G4">
        <v>117</v>
      </c>
      <c r="H4">
        <v>46</v>
      </c>
      <c r="I4">
        <v>251</v>
      </c>
      <c r="J4">
        <v>204</v>
      </c>
    </row>
    <row r="5" spans="1:14" x14ac:dyDescent="0.25">
      <c r="A5">
        <v>19</v>
      </c>
      <c r="B5">
        <v>291</v>
      </c>
      <c r="C5">
        <v>398</v>
      </c>
      <c r="D5">
        <v>95</v>
      </c>
      <c r="E5">
        <v>126</v>
      </c>
      <c r="F5">
        <v>101</v>
      </c>
      <c r="G5">
        <v>111</v>
      </c>
      <c r="H5">
        <v>225</v>
      </c>
      <c r="I5">
        <v>36</v>
      </c>
      <c r="J5">
        <v>351</v>
      </c>
    </row>
    <row r="6" spans="1:14" x14ac:dyDescent="0.25">
      <c r="A6">
        <v>366</v>
      </c>
      <c r="B6">
        <v>137</v>
      </c>
      <c r="C6">
        <v>152</v>
      </c>
      <c r="D6">
        <v>164</v>
      </c>
      <c r="E6">
        <v>166</v>
      </c>
      <c r="F6">
        <v>21</v>
      </c>
      <c r="G6">
        <v>389</v>
      </c>
      <c r="H6">
        <v>106</v>
      </c>
      <c r="I6">
        <v>390</v>
      </c>
      <c r="J6">
        <v>203</v>
      </c>
      <c r="N6">
        <f>COUNTIF($A$1:$J$14,A1)</f>
        <v>2</v>
      </c>
    </row>
    <row r="7" spans="1:14" x14ac:dyDescent="0.25">
      <c r="A7">
        <v>339</v>
      </c>
      <c r="B7">
        <v>156</v>
      </c>
      <c r="C7">
        <v>283</v>
      </c>
      <c r="D7">
        <v>314</v>
      </c>
      <c r="E7">
        <v>117</v>
      </c>
      <c r="F7">
        <v>375</v>
      </c>
      <c r="G7">
        <v>233</v>
      </c>
      <c r="H7">
        <v>253</v>
      </c>
      <c r="I7">
        <v>7</v>
      </c>
      <c r="J7">
        <v>101</v>
      </c>
    </row>
    <row r="8" spans="1:14" x14ac:dyDescent="0.25">
      <c r="A8">
        <v>195</v>
      </c>
      <c r="B8">
        <v>252</v>
      </c>
      <c r="C8">
        <v>89</v>
      </c>
      <c r="D8">
        <v>116</v>
      </c>
      <c r="E8">
        <v>67</v>
      </c>
      <c r="F8">
        <v>230</v>
      </c>
      <c r="G8">
        <v>31</v>
      </c>
      <c r="H8">
        <v>383</v>
      </c>
      <c r="I8">
        <v>238</v>
      </c>
      <c r="J8">
        <v>83</v>
      </c>
    </row>
    <row r="9" spans="1:14" x14ac:dyDescent="0.25">
      <c r="A9">
        <v>143</v>
      </c>
      <c r="B9">
        <v>396</v>
      </c>
      <c r="C9">
        <v>230</v>
      </c>
      <c r="D9">
        <v>115</v>
      </c>
      <c r="E9">
        <v>248</v>
      </c>
      <c r="F9">
        <v>286</v>
      </c>
      <c r="G9">
        <v>152</v>
      </c>
      <c r="H9">
        <v>366</v>
      </c>
      <c r="I9">
        <v>106</v>
      </c>
      <c r="J9">
        <v>217</v>
      </c>
    </row>
    <row r="10" spans="1:14" x14ac:dyDescent="0.25">
      <c r="A10">
        <v>342</v>
      </c>
      <c r="B10">
        <v>176</v>
      </c>
      <c r="C10">
        <v>7</v>
      </c>
      <c r="D10">
        <v>234</v>
      </c>
      <c r="E10">
        <v>247</v>
      </c>
      <c r="F10">
        <v>107</v>
      </c>
      <c r="G10">
        <v>6</v>
      </c>
      <c r="H10">
        <v>210</v>
      </c>
      <c r="I10">
        <v>386</v>
      </c>
      <c r="J10">
        <v>329</v>
      </c>
    </row>
    <row r="11" spans="1:14" x14ac:dyDescent="0.25">
      <c r="A11">
        <v>385</v>
      </c>
      <c r="B11">
        <v>396</v>
      </c>
      <c r="C11">
        <v>370</v>
      </c>
      <c r="D11">
        <v>129</v>
      </c>
      <c r="E11">
        <v>26</v>
      </c>
      <c r="F11">
        <v>20</v>
      </c>
      <c r="G11">
        <v>206</v>
      </c>
      <c r="H11">
        <v>196</v>
      </c>
      <c r="I11">
        <v>374</v>
      </c>
      <c r="J11">
        <v>210</v>
      </c>
    </row>
    <row r="12" spans="1:14" x14ac:dyDescent="0.25">
      <c r="A12">
        <v>53</v>
      </c>
      <c r="B12">
        <v>286</v>
      </c>
      <c r="C12">
        <v>301</v>
      </c>
      <c r="D12">
        <v>385</v>
      </c>
      <c r="E12">
        <v>75</v>
      </c>
      <c r="F12">
        <v>281</v>
      </c>
      <c r="G12">
        <v>371</v>
      </c>
      <c r="H12">
        <v>124</v>
      </c>
      <c r="I12">
        <v>82</v>
      </c>
      <c r="J12">
        <v>2</v>
      </c>
    </row>
    <row r="13" spans="1:14" x14ac:dyDescent="0.25">
      <c r="A13">
        <v>173</v>
      </c>
      <c r="B13">
        <v>52</v>
      </c>
      <c r="C13">
        <v>365</v>
      </c>
      <c r="D13">
        <v>181</v>
      </c>
      <c r="E13">
        <v>69</v>
      </c>
      <c r="F13">
        <v>315</v>
      </c>
      <c r="G13">
        <v>365</v>
      </c>
      <c r="H13">
        <v>189</v>
      </c>
      <c r="I13">
        <v>167</v>
      </c>
      <c r="J13">
        <v>121</v>
      </c>
    </row>
    <row r="14" spans="1:14" x14ac:dyDescent="0.25">
      <c r="A14">
        <v>77</v>
      </c>
      <c r="B14">
        <v>271</v>
      </c>
      <c r="C14">
        <v>153</v>
      </c>
      <c r="D14">
        <v>291</v>
      </c>
      <c r="E14">
        <v>222</v>
      </c>
      <c r="F14">
        <v>286</v>
      </c>
      <c r="G14">
        <v>281</v>
      </c>
      <c r="H14">
        <v>17</v>
      </c>
      <c r="I14">
        <v>85</v>
      </c>
      <c r="J14">
        <v>47</v>
      </c>
    </row>
  </sheetData>
  <conditionalFormatting sqref="A1:J14">
    <cfRule type="expression" dxfId="4" priority="1">
      <formula>COUNTIF($A$1:$J$14,A1)=3</formula>
    </cfRule>
    <cfRule type="expression" dxfId="3" priority="2">
      <formula>COUNTIF($A$1:$J$14,A1)=1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62B4-070B-49C2-8955-55D3E0FF9F29}">
  <dimension ref="A1:J18"/>
  <sheetViews>
    <sheetView workbookViewId="0">
      <selection activeCell="C2" sqref="C2"/>
    </sheetView>
  </sheetViews>
  <sheetFormatPr defaultRowHeight="15" x14ac:dyDescent="0.25"/>
  <sheetData>
    <row r="1" spans="1:10" x14ac:dyDescent="0.25">
      <c r="A1" s="1" t="s">
        <v>220</v>
      </c>
      <c r="B1" s="1" t="s">
        <v>221</v>
      </c>
      <c r="C1" s="1" t="s">
        <v>10</v>
      </c>
      <c r="D1" s="1" t="s">
        <v>222</v>
      </c>
    </row>
    <row r="2" spans="1:10" ht="16.5" x14ac:dyDescent="0.3">
      <c r="A2" t="s">
        <v>223</v>
      </c>
      <c r="B2" t="s">
        <v>224</v>
      </c>
      <c r="C2" t="s">
        <v>0</v>
      </c>
      <c r="D2" s="10">
        <v>56</v>
      </c>
      <c r="I2" s="1" t="s">
        <v>228</v>
      </c>
      <c r="J2" t="s">
        <v>225</v>
      </c>
    </row>
    <row r="3" spans="1:10" ht="16.5" x14ac:dyDescent="0.3">
      <c r="A3" t="s">
        <v>227</v>
      </c>
      <c r="B3" t="s">
        <v>226</v>
      </c>
      <c r="C3" t="s">
        <v>1</v>
      </c>
      <c r="D3" s="10">
        <v>59</v>
      </c>
    </row>
    <row r="4" spans="1:10" ht="16.5" x14ac:dyDescent="0.3">
      <c r="A4" t="s">
        <v>223</v>
      </c>
      <c r="B4" t="s">
        <v>226</v>
      </c>
      <c r="C4" t="s">
        <v>1</v>
      </c>
      <c r="D4" s="10">
        <v>67</v>
      </c>
    </row>
    <row r="5" spans="1:10" ht="16.5" x14ac:dyDescent="0.3">
      <c r="A5" t="s">
        <v>223</v>
      </c>
      <c r="B5" t="s">
        <v>226</v>
      </c>
      <c r="C5" t="s">
        <v>2</v>
      </c>
      <c r="D5" s="10">
        <v>54</v>
      </c>
    </row>
    <row r="6" spans="1:10" ht="16.5" x14ac:dyDescent="0.3">
      <c r="A6" t="s">
        <v>227</v>
      </c>
      <c r="B6" t="s">
        <v>226</v>
      </c>
      <c r="C6" t="s">
        <v>0</v>
      </c>
      <c r="D6" s="10">
        <v>76</v>
      </c>
    </row>
    <row r="7" spans="1:10" ht="16.5" x14ac:dyDescent="0.3">
      <c r="A7" t="s">
        <v>225</v>
      </c>
      <c r="B7" t="s">
        <v>224</v>
      </c>
      <c r="C7" t="s">
        <v>2</v>
      </c>
      <c r="D7" s="10">
        <v>70</v>
      </c>
    </row>
    <row r="8" spans="1:10" ht="16.5" x14ac:dyDescent="0.3">
      <c r="A8" t="s">
        <v>227</v>
      </c>
      <c r="B8" t="s">
        <v>226</v>
      </c>
      <c r="C8" t="s">
        <v>0</v>
      </c>
      <c r="D8" s="10">
        <v>84</v>
      </c>
    </row>
    <row r="9" spans="1:10" ht="16.5" x14ac:dyDescent="0.3">
      <c r="A9" t="s">
        <v>225</v>
      </c>
      <c r="B9" t="s">
        <v>226</v>
      </c>
      <c r="C9" t="s">
        <v>0</v>
      </c>
      <c r="D9" s="10">
        <v>100</v>
      </c>
    </row>
    <row r="10" spans="1:10" ht="16.5" x14ac:dyDescent="0.3">
      <c r="A10" t="s">
        <v>227</v>
      </c>
      <c r="B10" t="s">
        <v>226</v>
      </c>
      <c r="C10" t="s">
        <v>0</v>
      </c>
      <c r="D10" s="10">
        <v>77</v>
      </c>
    </row>
    <row r="11" spans="1:10" ht="16.5" x14ac:dyDescent="0.3">
      <c r="A11" t="s">
        <v>227</v>
      </c>
      <c r="B11" t="s">
        <v>224</v>
      </c>
      <c r="C11" t="s">
        <v>0</v>
      </c>
      <c r="D11" s="10">
        <v>82</v>
      </c>
    </row>
    <row r="12" spans="1:10" ht="16.5" x14ac:dyDescent="0.3">
      <c r="A12" t="s">
        <v>225</v>
      </c>
      <c r="B12" t="s">
        <v>224</v>
      </c>
      <c r="C12" t="s">
        <v>1</v>
      </c>
      <c r="D12" s="10">
        <v>98</v>
      </c>
    </row>
    <row r="13" spans="1:10" ht="16.5" x14ac:dyDescent="0.3">
      <c r="A13" t="s">
        <v>223</v>
      </c>
      <c r="B13" t="s">
        <v>224</v>
      </c>
      <c r="C13" t="s">
        <v>0</v>
      </c>
      <c r="D13" s="10">
        <v>82</v>
      </c>
    </row>
    <row r="14" spans="1:10" ht="16.5" x14ac:dyDescent="0.3">
      <c r="A14" t="s">
        <v>227</v>
      </c>
      <c r="B14" t="s">
        <v>226</v>
      </c>
      <c r="C14" t="s">
        <v>1</v>
      </c>
      <c r="D14" s="10">
        <v>59</v>
      </c>
    </row>
    <row r="15" spans="1:10" ht="16.5" x14ac:dyDescent="0.3">
      <c r="A15" t="s">
        <v>225</v>
      </c>
      <c r="B15" t="s">
        <v>226</v>
      </c>
      <c r="C15" t="s">
        <v>0</v>
      </c>
      <c r="D15" s="10">
        <v>82</v>
      </c>
    </row>
    <row r="16" spans="1:10" ht="16.5" x14ac:dyDescent="0.3">
      <c r="A16" t="s">
        <v>227</v>
      </c>
      <c r="B16" t="s">
        <v>224</v>
      </c>
      <c r="C16" t="s">
        <v>1</v>
      </c>
      <c r="D16" s="10">
        <v>81</v>
      </c>
    </row>
    <row r="17" spans="1:4" ht="16.5" x14ac:dyDescent="0.3">
      <c r="A17" t="s">
        <v>227</v>
      </c>
      <c r="B17" t="s">
        <v>226</v>
      </c>
      <c r="C17" t="s">
        <v>2</v>
      </c>
      <c r="D17" s="10">
        <v>99</v>
      </c>
    </row>
    <row r="18" spans="1:4" ht="16.5" x14ac:dyDescent="0.3">
      <c r="D18" s="10"/>
    </row>
  </sheetData>
  <conditionalFormatting sqref="A1:D17">
    <cfRule type="expression" dxfId="2" priority="1">
      <formula>$A1=$J$2</formula>
    </cfRule>
  </conditionalFormatting>
  <dataValidations count="1">
    <dataValidation type="list" allowBlank="1" showInputMessage="1" showErrorMessage="1" sqref="J2" xr:uid="{AE588100-7775-42CA-A91F-55B5B854921C}">
      <formula1>"North,South,East"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55B2A-275C-41E7-B3D9-7A8A374D596C}">
  <dimension ref="A1:M106"/>
  <sheetViews>
    <sheetView topLeftCell="A56" workbookViewId="0">
      <selection activeCell="J61" sqref="J61"/>
    </sheetView>
  </sheetViews>
  <sheetFormatPr defaultRowHeight="15" x14ac:dyDescent="0.25"/>
  <cols>
    <col min="1" max="1" width="16" customWidth="1"/>
    <col min="2" max="2" width="11.85546875" bestFit="1" customWidth="1"/>
    <col min="7" max="7" width="10.42578125" bestFit="1" customWidth="1"/>
    <col min="13" max="13" width="10.42578125" bestFit="1" customWidth="1"/>
  </cols>
  <sheetData>
    <row r="1" spans="1:7" x14ac:dyDescent="0.25">
      <c r="A1" s="1" t="s">
        <v>217</v>
      </c>
      <c r="B1" s="1" t="s">
        <v>219</v>
      </c>
    </row>
    <row r="2" spans="1:7" x14ac:dyDescent="0.25">
      <c r="A2" s="9">
        <v>45992</v>
      </c>
      <c r="B2">
        <v>247</v>
      </c>
    </row>
    <row r="3" spans="1:7" x14ac:dyDescent="0.25">
      <c r="A3" s="9">
        <v>45992</v>
      </c>
      <c r="B3">
        <v>175</v>
      </c>
    </row>
    <row r="4" spans="1:7" x14ac:dyDescent="0.25">
      <c r="A4" s="9">
        <v>45992</v>
      </c>
      <c r="B4">
        <v>115</v>
      </c>
      <c r="G4" s="9">
        <f ca="1">TODAY()</f>
        <v>46021</v>
      </c>
    </row>
    <row r="5" spans="1:7" x14ac:dyDescent="0.25">
      <c r="A5" s="9">
        <v>45992</v>
      </c>
      <c r="B5">
        <v>120</v>
      </c>
    </row>
    <row r="6" spans="1:7" x14ac:dyDescent="0.25">
      <c r="A6" s="9">
        <v>45992</v>
      </c>
      <c r="B6">
        <v>212</v>
      </c>
    </row>
    <row r="7" spans="1:7" x14ac:dyDescent="0.25">
      <c r="A7" s="9">
        <v>45992</v>
      </c>
      <c r="B7">
        <v>237</v>
      </c>
    </row>
    <row r="8" spans="1:7" x14ac:dyDescent="0.25">
      <c r="A8" s="9">
        <v>45992</v>
      </c>
      <c r="B8">
        <v>195</v>
      </c>
    </row>
    <row r="9" spans="1:7" x14ac:dyDescent="0.25">
      <c r="A9" s="9">
        <v>45993</v>
      </c>
      <c r="B9">
        <v>147</v>
      </c>
    </row>
    <row r="10" spans="1:7" x14ac:dyDescent="0.25">
      <c r="A10" s="9">
        <v>45993</v>
      </c>
      <c r="B10">
        <v>193</v>
      </c>
    </row>
    <row r="11" spans="1:7" x14ac:dyDescent="0.25">
      <c r="A11" s="9">
        <v>45993</v>
      </c>
      <c r="B11">
        <v>167</v>
      </c>
    </row>
    <row r="12" spans="1:7" x14ac:dyDescent="0.25">
      <c r="A12" s="9">
        <v>45993</v>
      </c>
      <c r="B12">
        <v>109</v>
      </c>
    </row>
    <row r="13" spans="1:7" x14ac:dyDescent="0.25">
      <c r="A13" s="9">
        <v>45994</v>
      </c>
      <c r="B13">
        <v>100</v>
      </c>
    </row>
    <row r="14" spans="1:7" x14ac:dyDescent="0.25">
      <c r="A14" s="9">
        <v>45994</v>
      </c>
      <c r="B14">
        <v>164</v>
      </c>
    </row>
    <row r="15" spans="1:7" x14ac:dyDescent="0.25">
      <c r="A15" s="9">
        <v>45994</v>
      </c>
      <c r="B15">
        <v>166</v>
      </c>
    </row>
    <row r="16" spans="1:7" x14ac:dyDescent="0.25">
      <c r="A16" s="9">
        <v>45994</v>
      </c>
      <c r="B16">
        <v>239</v>
      </c>
    </row>
    <row r="17" spans="1:2" x14ac:dyDescent="0.25">
      <c r="A17" s="9">
        <v>45995</v>
      </c>
      <c r="B17">
        <v>106</v>
      </c>
    </row>
    <row r="18" spans="1:2" x14ac:dyDescent="0.25">
      <c r="A18" s="9">
        <v>45995</v>
      </c>
      <c r="B18">
        <v>208</v>
      </c>
    </row>
    <row r="19" spans="1:2" x14ac:dyDescent="0.25">
      <c r="A19" s="9">
        <v>45995</v>
      </c>
      <c r="B19">
        <v>186</v>
      </c>
    </row>
    <row r="20" spans="1:2" x14ac:dyDescent="0.25">
      <c r="A20" s="9">
        <v>45995</v>
      </c>
      <c r="B20">
        <v>233</v>
      </c>
    </row>
    <row r="21" spans="1:2" x14ac:dyDescent="0.25">
      <c r="A21" s="9">
        <v>45996</v>
      </c>
      <c r="B21">
        <v>110</v>
      </c>
    </row>
    <row r="22" spans="1:2" x14ac:dyDescent="0.25">
      <c r="A22" s="9">
        <v>45996</v>
      </c>
      <c r="B22">
        <v>111</v>
      </c>
    </row>
    <row r="23" spans="1:2" x14ac:dyDescent="0.25">
      <c r="A23" s="9">
        <v>45996</v>
      </c>
      <c r="B23">
        <v>244</v>
      </c>
    </row>
    <row r="24" spans="1:2" x14ac:dyDescent="0.25">
      <c r="A24" s="9">
        <v>45996</v>
      </c>
      <c r="B24">
        <v>109</v>
      </c>
    </row>
    <row r="25" spans="1:2" x14ac:dyDescent="0.25">
      <c r="A25" s="9">
        <v>45996</v>
      </c>
      <c r="B25">
        <v>241</v>
      </c>
    </row>
    <row r="26" spans="1:2" x14ac:dyDescent="0.25">
      <c r="A26" s="9">
        <v>45997</v>
      </c>
      <c r="B26">
        <v>150</v>
      </c>
    </row>
    <row r="27" spans="1:2" x14ac:dyDescent="0.25">
      <c r="A27" s="9">
        <v>45997</v>
      </c>
      <c r="B27">
        <v>127</v>
      </c>
    </row>
    <row r="28" spans="1:2" x14ac:dyDescent="0.25">
      <c r="A28" s="9">
        <v>45997</v>
      </c>
      <c r="B28">
        <v>175</v>
      </c>
    </row>
    <row r="29" spans="1:2" x14ac:dyDescent="0.25">
      <c r="A29" s="9">
        <v>45998</v>
      </c>
      <c r="B29">
        <v>124</v>
      </c>
    </row>
    <row r="30" spans="1:2" x14ac:dyDescent="0.25">
      <c r="A30" s="9">
        <v>45999</v>
      </c>
      <c r="B30">
        <v>249</v>
      </c>
    </row>
    <row r="31" spans="1:2" x14ac:dyDescent="0.25">
      <c r="A31" s="9">
        <v>45999</v>
      </c>
      <c r="B31">
        <v>120</v>
      </c>
    </row>
    <row r="32" spans="1:2" x14ac:dyDescent="0.25">
      <c r="A32" s="9">
        <v>45999</v>
      </c>
      <c r="B32">
        <v>210</v>
      </c>
    </row>
    <row r="33" spans="1:2" x14ac:dyDescent="0.25">
      <c r="A33" s="9">
        <v>45999</v>
      </c>
      <c r="B33">
        <v>234</v>
      </c>
    </row>
    <row r="34" spans="1:2" x14ac:dyDescent="0.25">
      <c r="A34" s="9">
        <v>45999</v>
      </c>
      <c r="B34">
        <v>106</v>
      </c>
    </row>
    <row r="35" spans="1:2" x14ac:dyDescent="0.25">
      <c r="A35" s="9">
        <v>45999</v>
      </c>
      <c r="B35">
        <v>231</v>
      </c>
    </row>
    <row r="36" spans="1:2" x14ac:dyDescent="0.25">
      <c r="A36" s="9">
        <v>45999</v>
      </c>
      <c r="B36">
        <v>124</v>
      </c>
    </row>
    <row r="37" spans="1:2" x14ac:dyDescent="0.25">
      <c r="A37" s="9">
        <v>46000</v>
      </c>
      <c r="B37">
        <v>101</v>
      </c>
    </row>
    <row r="38" spans="1:2" x14ac:dyDescent="0.25">
      <c r="A38" s="9">
        <v>46000</v>
      </c>
      <c r="B38">
        <v>210</v>
      </c>
    </row>
    <row r="39" spans="1:2" x14ac:dyDescent="0.25">
      <c r="A39" s="9">
        <v>46001</v>
      </c>
      <c r="B39">
        <v>232</v>
      </c>
    </row>
    <row r="40" spans="1:2" x14ac:dyDescent="0.25">
      <c r="A40" s="9">
        <v>46001</v>
      </c>
      <c r="B40">
        <v>244</v>
      </c>
    </row>
    <row r="41" spans="1:2" x14ac:dyDescent="0.25">
      <c r="A41" s="9">
        <v>46001</v>
      </c>
      <c r="B41">
        <v>231</v>
      </c>
    </row>
    <row r="42" spans="1:2" x14ac:dyDescent="0.25">
      <c r="A42" s="9">
        <v>46001</v>
      </c>
      <c r="B42">
        <v>188</v>
      </c>
    </row>
    <row r="43" spans="1:2" x14ac:dyDescent="0.25">
      <c r="A43" s="9">
        <v>46002</v>
      </c>
      <c r="B43">
        <v>235</v>
      </c>
    </row>
    <row r="44" spans="1:2" x14ac:dyDescent="0.25">
      <c r="A44" s="9">
        <v>46002</v>
      </c>
      <c r="B44">
        <v>222</v>
      </c>
    </row>
    <row r="45" spans="1:2" x14ac:dyDescent="0.25">
      <c r="A45" s="9">
        <v>46002</v>
      </c>
      <c r="B45">
        <v>138</v>
      </c>
    </row>
    <row r="46" spans="1:2" x14ac:dyDescent="0.25">
      <c r="A46" s="9">
        <v>46002</v>
      </c>
      <c r="B46">
        <v>186</v>
      </c>
    </row>
    <row r="47" spans="1:2" x14ac:dyDescent="0.25">
      <c r="A47" s="9">
        <v>46003</v>
      </c>
      <c r="B47">
        <v>194</v>
      </c>
    </row>
    <row r="48" spans="1:2" x14ac:dyDescent="0.25">
      <c r="A48" s="9">
        <v>46004</v>
      </c>
      <c r="B48">
        <v>107</v>
      </c>
    </row>
    <row r="49" spans="1:13" x14ac:dyDescent="0.25">
      <c r="A49" s="9">
        <v>46004</v>
      </c>
      <c r="B49">
        <v>210</v>
      </c>
    </row>
    <row r="50" spans="1:13" x14ac:dyDescent="0.25">
      <c r="A50" s="9">
        <v>46005</v>
      </c>
      <c r="B50">
        <v>154</v>
      </c>
    </row>
    <row r="51" spans="1:13" x14ac:dyDescent="0.25">
      <c r="A51" s="9">
        <v>46005</v>
      </c>
      <c r="B51">
        <v>143</v>
      </c>
    </row>
    <row r="52" spans="1:13" x14ac:dyDescent="0.25">
      <c r="A52" s="9">
        <v>46005</v>
      </c>
      <c r="B52">
        <v>198</v>
      </c>
    </row>
    <row r="53" spans="1:13" x14ac:dyDescent="0.25">
      <c r="A53" s="9">
        <v>46005</v>
      </c>
      <c r="B53">
        <v>106</v>
      </c>
    </row>
    <row r="54" spans="1:13" x14ac:dyDescent="0.25">
      <c r="A54" s="9">
        <v>46006</v>
      </c>
      <c r="B54">
        <v>134</v>
      </c>
    </row>
    <row r="55" spans="1:13" x14ac:dyDescent="0.25">
      <c r="A55" s="9">
        <v>46006</v>
      </c>
      <c r="B55">
        <v>189</v>
      </c>
    </row>
    <row r="56" spans="1:13" x14ac:dyDescent="0.25">
      <c r="A56" s="9">
        <v>46007</v>
      </c>
      <c r="B56">
        <v>197</v>
      </c>
    </row>
    <row r="57" spans="1:13" x14ac:dyDescent="0.25">
      <c r="A57" s="9">
        <v>46007</v>
      </c>
      <c r="B57">
        <v>243</v>
      </c>
    </row>
    <row r="58" spans="1:13" x14ac:dyDescent="0.25">
      <c r="A58" s="9">
        <v>46007</v>
      </c>
      <c r="B58">
        <v>111</v>
      </c>
    </row>
    <row r="59" spans="1:13" x14ac:dyDescent="0.25">
      <c r="A59" s="9">
        <v>46008</v>
      </c>
      <c r="B59">
        <v>232</v>
      </c>
    </row>
    <row r="60" spans="1:13" x14ac:dyDescent="0.25">
      <c r="A60" s="9">
        <v>46008</v>
      </c>
      <c r="B60">
        <v>167</v>
      </c>
    </row>
    <row r="61" spans="1:13" x14ac:dyDescent="0.25">
      <c r="A61" s="9">
        <v>46009</v>
      </c>
      <c r="B61">
        <v>142</v>
      </c>
    </row>
    <row r="62" spans="1:13" x14ac:dyDescent="0.25">
      <c r="A62" s="9">
        <v>46009</v>
      </c>
      <c r="B62">
        <v>155</v>
      </c>
    </row>
    <row r="63" spans="1:13" x14ac:dyDescent="0.25">
      <c r="A63" s="9">
        <v>46009</v>
      </c>
      <c r="B63">
        <v>181</v>
      </c>
    </row>
    <row r="64" spans="1:13" x14ac:dyDescent="0.25">
      <c r="A64" s="9">
        <v>46009</v>
      </c>
      <c r="B64">
        <v>239</v>
      </c>
      <c r="M64" s="9"/>
    </row>
    <row r="65" spans="1:2" x14ac:dyDescent="0.25">
      <c r="A65" s="9">
        <v>46009</v>
      </c>
      <c r="B65">
        <v>226</v>
      </c>
    </row>
    <row r="66" spans="1:2" x14ac:dyDescent="0.25">
      <c r="A66" s="9">
        <v>46010</v>
      </c>
      <c r="B66">
        <v>200</v>
      </c>
    </row>
    <row r="67" spans="1:2" x14ac:dyDescent="0.25">
      <c r="A67" s="9">
        <v>46010</v>
      </c>
      <c r="B67">
        <v>154</v>
      </c>
    </row>
    <row r="68" spans="1:2" x14ac:dyDescent="0.25">
      <c r="A68" s="9">
        <v>46010</v>
      </c>
      <c r="B68">
        <v>224</v>
      </c>
    </row>
    <row r="69" spans="1:2" x14ac:dyDescent="0.25">
      <c r="A69" s="9">
        <v>46010</v>
      </c>
      <c r="B69">
        <v>242</v>
      </c>
    </row>
    <row r="70" spans="1:2" x14ac:dyDescent="0.25">
      <c r="A70" s="9">
        <v>46010</v>
      </c>
      <c r="B70">
        <v>140</v>
      </c>
    </row>
    <row r="71" spans="1:2" x14ac:dyDescent="0.25">
      <c r="A71" s="9">
        <v>46012</v>
      </c>
      <c r="B71">
        <v>164</v>
      </c>
    </row>
    <row r="72" spans="1:2" x14ac:dyDescent="0.25">
      <c r="A72" s="9">
        <v>46012</v>
      </c>
      <c r="B72">
        <v>175</v>
      </c>
    </row>
    <row r="73" spans="1:2" x14ac:dyDescent="0.25">
      <c r="A73" s="9">
        <v>46012</v>
      </c>
      <c r="B73">
        <v>213</v>
      </c>
    </row>
    <row r="74" spans="1:2" x14ac:dyDescent="0.25">
      <c r="A74" s="9">
        <v>46013</v>
      </c>
      <c r="B74">
        <v>144</v>
      </c>
    </row>
    <row r="75" spans="1:2" x14ac:dyDescent="0.25">
      <c r="A75" s="9">
        <v>46013</v>
      </c>
      <c r="B75">
        <v>184</v>
      </c>
    </row>
    <row r="76" spans="1:2" x14ac:dyDescent="0.25">
      <c r="A76" s="9">
        <v>46013</v>
      </c>
      <c r="B76">
        <v>142</v>
      </c>
    </row>
    <row r="77" spans="1:2" x14ac:dyDescent="0.25">
      <c r="A77" s="9">
        <v>46014</v>
      </c>
      <c r="B77">
        <v>230</v>
      </c>
    </row>
    <row r="78" spans="1:2" x14ac:dyDescent="0.25">
      <c r="A78" s="9">
        <v>46014</v>
      </c>
      <c r="B78">
        <v>202</v>
      </c>
    </row>
    <row r="79" spans="1:2" x14ac:dyDescent="0.25">
      <c r="A79" s="9">
        <v>46014</v>
      </c>
      <c r="B79">
        <v>249</v>
      </c>
    </row>
    <row r="80" spans="1:2" x14ac:dyDescent="0.25">
      <c r="A80" s="9">
        <v>46015</v>
      </c>
      <c r="B80">
        <v>105</v>
      </c>
    </row>
    <row r="81" spans="1:2" x14ac:dyDescent="0.25">
      <c r="A81" s="9">
        <v>46015</v>
      </c>
      <c r="B81">
        <v>238</v>
      </c>
    </row>
    <row r="82" spans="1:2" x14ac:dyDescent="0.25">
      <c r="A82" s="9">
        <v>46015</v>
      </c>
      <c r="B82">
        <v>222</v>
      </c>
    </row>
    <row r="83" spans="1:2" x14ac:dyDescent="0.25">
      <c r="A83" s="9">
        <v>46015</v>
      </c>
      <c r="B83">
        <v>179</v>
      </c>
    </row>
    <row r="84" spans="1:2" x14ac:dyDescent="0.25">
      <c r="A84" s="9">
        <v>46016</v>
      </c>
      <c r="B84">
        <v>246</v>
      </c>
    </row>
    <row r="85" spans="1:2" x14ac:dyDescent="0.25">
      <c r="A85" s="9">
        <v>46016</v>
      </c>
      <c r="B85">
        <v>208</v>
      </c>
    </row>
    <row r="86" spans="1:2" x14ac:dyDescent="0.25">
      <c r="A86" s="9">
        <v>46016</v>
      </c>
      <c r="B86">
        <v>120</v>
      </c>
    </row>
    <row r="87" spans="1:2" x14ac:dyDescent="0.25">
      <c r="A87" s="9">
        <v>46017</v>
      </c>
      <c r="B87">
        <v>193</v>
      </c>
    </row>
    <row r="88" spans="1:2" x14ac:dyDescent="0.25">
      <c r="A88" s="9">
        <v>46017</v>
      </c>
      <c r="B88">
        <v>154</v>
      </c>
    </row>
    <row r="89" spans="1:2" x14ac:dyDescent="0.25">
      <c r="A89" s="9">
        <v>46018</v>
      </c>
      <c r="B89">
        <v>218</v>
      </c>
    </row>
    <row r="90" spans="1:2" x14ac:dyDescent="0.25">
      <c r="A90" s="9">
        <v>46018</v>
      </c>
      <c r="B90">
        <v>171</v>
      </c>
    </row>
    <row r="91" spans="1:2" x14ac:dyDescent="0.25">
      <c r="A91" s="9">
        <v>46018</v>
      </c>
      <c r="B91">
        <v>221</v>
      </c>
    </row>
    <row r="92" spans="1:2" x14ac:dyDescent="0.25">
      <c r="A92" s="9">
        <v>46018</v>
      </c>
      <c r="B92">
        <v>102</v>
      </c>
    </row>
    <row r="93" spans="1:2" x14ac:dyDescent="0.25">
      <c r="A93" s="9">
        <v>46018</v>
      </c>
      <c r="B93">
        <v>222</v>
      </c>
    </row>
    <row r="94" spans="1:2" x14ac:dyDescent="0.25">
      <c r="A94" s="9">
        <v>46019</v>
      </c>
      <c r="B94">
        <v>155</v>
      </c>
    </row>
    <row r="95" spans="1:2" x14ac:dyDescent="0.25">
      <c r="A95" s="9">
        <v>46019</v>
      </c>
      <c r="B95">
        <v>179</v>
      </c>
    </row>
    <row r="96" spans="1:2" x14ac:dyDescent="0.25">
      <c r="A96" s="9">
        <v>46020</v>
      </c>
      <c r="B96">
        <v>221</v>
      </c>
    </row>
    <row r="97" spans="1:2" x14ac:dyDescent="0.25">
      <c r="A97" s="9">
        <v>46020</v>
      </c>
      <c r="B97">
        <v>222</v>
      </c>
    </row>
    <row r="98" spans="1:2" x14ac:dyDescent="0.25">
      <c r="A98" s="9">
        <v>46021</v>
      </c>
      <c r="B98">
        <v>152</v>
      </c>
    </row>
    <row r="99" spans="1:2" x14ac:dyDescent="0.25">
      <c r="A99" s="9">
        <v>46021</v>
      </c>
      <c r="B99">
        <v>182</v>
      </c>
    </row>
    <row r="100" spans="1:2" x14ac:dyDescent="0.25">
      <c r="A100" s="9">
        <v>46021</v>
      </c>
      <c r="B100">
        <v>155</v>
      </c>
    </row>
    <row r="101" spans="1:2" x14ac:dyDescent="0.25">
      <c r="A101" s="9">
        <v>46022</v>
      </c>
      <c r="B101">
        <v>109</v>
      </c>
    </row>
    <row r="102" spans="1:2" x14ac:dyDescent="0.25">
      <c r="A102" s="9">
        <v>46022</v>
      </c>
      <c r="B102">
        <v>147</v>
      </c>
    </row>
    <row r="103" spans="1:2" x14ac:dyDescent="0.25">
      <c r="A103" s="9">
        <v>46022</v>
      </c>
      <c r="B103">
        <v>200</v>
      </c>
    </row>
    <row r="104" spans="1:2" x14ac:dyDescent="0.25">
      <c r="A104" s="9">
        <v>46022</v>
      </c>
      <c r="B104">
        <v>146</v>
      </c>
    </row>
    <row r="105" spans="1:2" x14ac:dyDescent="0.25">
      <c r="A105" s="9">
        <v>46022</v>
      </c>
      <c r="B105">
        <v>215</v>
      </c>
    </row>
    <row r="106" spans="1:2" x14ac:dyDescent="0.25">
      <c r="A106" s="9">
        <v>46022</v>
      </c>
      <c r="B106">
        <v>230</v>
      </c>
    </row>
  </sheetData>
  <sortState xmlns:xlrd2="http://schemas.microsoft.com/office/spreadsheetml/2017/richdata2" ref="A2:B106">
    <sortCondition ref="A1:A106"/>
  </sortState>
  <conditionalFormatting sqref="A1:B106">
    <cfRule type="expression" dxfId="1" priority="1">
      <formula>$A1=TODAY()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8067-FBDD-4A25-BCFF-3C6CD66991BC}">
  <dimension ref="A1:I15"/>
  <sheetViews>
    <sheetView workbookViewId="0">
      <selection activeCell="H4" sqref="H4"/>
    </sheetView>
  </sheetViews>
  <sheetFormatPr defaultRowHeight="15" x14ac:dyDescent="0.25"/>
  <cols>
    <col min="4" max="4" width="11.5703125" customWidth="1"/>
    <col min="9" max="9" width="12.5703125" customWidth="1"/>
  </cols>
  <sheetData>
    <row r="1" spans="1:9" x14ac:dyDescent="0.25">
      <c r="A1" s="1" t="s">
        <v>221</v>
      </c>
      <c r="B1" s="1" t="s">
        <v>218</v>
      </c>
      <c r="C1" s="1" t="s">
        <v>231</v>
      </c>
      <c r="D1" s="1" t="s">
        <v>232</v>
      </c>
    </row>
    <row r="2" spans="1:9" x14ac:dyDescent="0.25">
      <c r="A2" t="s">
        <v>226</v>
      </c>
      <c r="B2">
        <v>130</v>
      </c>
      <c r="C2">
        <v>177</v>
      </c>
      <c r="D2" t="str">
        <f>IF(B2&gt;=C2,"Completed","Incomplete")</f>
        <v>Incomplete</v>
      </c>
      <c r="H2" t="s">
        <v>243</v>
      </c>
      <c r="I2" t="s">
        <v>244</v>
      </c>
    </row>
    <row r="3" spans="1:9" x14ac:dyDescent="0.25">
      <c r="A3" t="s">
        <v>224</v>
      </c>
      <c r="B3">
        <v>150</v>
      </c>
      <c r="C3">
        <v>115</v>
      </c>
      <c r="D3" t="str">
        <f t="shared" ref="D3:D15" si="0">IF(B3&gt;=C3,"Completed","Incomplete")</f>
        <v>Completed</v>
      </c>
    </row>
    <row r="4" spans="1:9" x14ac:dyDescent="0.25">
      <c r="A4" t="s">
        <v>229</v>
      </c>
      <c r="B4">
        <v>181</v>
      </c>
      <c r="C4">
        <v>135</v>
      </c>
      <c r="D4" t="str">
        <f t="shared" si="0"/>
        <v>Completed</v>
      </c>
    </row>
    <row r="5" spans="1:9" x14ac:dyDescent="0.25">
      <c r="A5" t="s">
        <v>230</v>
      </c>
      <c r="B5">
        <v>137</v>
      </c>
      <c r="C5">
        <v>194</v>
      </c>
      <c r="D5" t="str">
        <f t="shared" si="0"/>
        <v>Incomplete</v>
      </c>
    </row>
    <row r="6" spans="1:9" x14ac:dyDescent="0.25">
      <c r="A6" t="s">
        <v>233</v>
      </c>
      <c r="B6">
        <v>155</v>
      </c>
      <c r="C6">
        <v>115</v>
      </c>
      <c r="D6" t="str">
        <f t="shared" si="0"/>
        <v>Completed</v>
      </c>
    </row>
    <row r="7" spans="1:9" x14ac:dyDescent="0.25">
      <c r="A7" t="s">
        <v>234</v>
      </c>
      <c r="B7">
        <v>102</v>
      </c>
      <c r="C7">
        <v>170</v>
      </c>
      <c r="D7" t="str">
        <f t="shared" si="0"/>
        <v>Incomplete</v>
      </c>
    </row>
    <row r="8" spans="1:9" x14ac:dyDescent="0.25">
      <c r="A8" t="s">
        <v>235</v>
      </c>
      <c r="B8">
        <v>159</v>
      </c>
      <c r="C8">
        <v>151</v>
      </c>
      <c r="D8" t="str">
        <f t="shared" si="0"/>
        <v>Completed</v>
      </c>
    </row>
    <row r="9" spans="1:9" x14ac:dyDescent="0.25">
      <c r="A9" t="s">
        <v>236</v>
      </c>
      <c r="B9">
        <v>187</v>
      </c>
      <c r="C9">
        <v>164</v>
      </c>
      <c r="D9" t="str">
        <f t="shared" si="0"/>
        <v>Completed</v>
      </c>
    </row>
    <row r="10" spans="1:9" x14ac:dyDescent="0.25">
      <c r="A10" t="s">
        <v>237</v>
      </c>
      <c r="B10">
        <v>155</v>
      </c>
      <c r="C10">
        <v>186</v>
      </c>
      <c r="D10" t="str">
        <f t="shared" si="0"/>
        <v>Incomplete</v>
      </c>
    </row>
    <row r="11" spans="1:9" x14ac:dyDescent="0.25">
      <c r="A11" t="s">
        <v>238</v>
      </c>
      <c r="B11">
        <v>107</v>
      </c>
      <c r="C11">
        <v>153</v>
      </c>
      <c r="D11" t="str">
        <f t="shared" si="0"/>
        <v>Incomplete</v>
      </c>
    </row>
    <row r="12" spans="1:9" x14ac:dyDescent="0.25">
      <c r="A12" t="s">
        <v>239</v>
      </c>
      <c r="B12">
        <v>108</v>
      </c>
      <c r="C12">
        <v>165</v>
      </c>
      <c r="D12" t="str">
        <f t="shared" si="0"/>
        <v>Incomplete</v>
      </c>
    </row>
    <row r="13" spans="1:9" x14ac:dyDescent="0.25">
      <c r="A13" t="s">
        <v>240</v>
      </c>
      <c r="B13">
        <v>106</v>
      </c>
      <c r="C13">
        <v>124</v>
      </c>
      <c r="D13" t="str">
        <f t="shared" si="0"/>
        <v>Incomplete</v>
      </c>
    </row>
    <row r="14" spans="1:9" x14ac:dyDescent="0.25">
      <c r="A14" t="s">
        <v>241</v>
      </c>
      <c r="B14">
        <v>153</v>
      </c>
      <c r="C14">
        <v>165</v>
      </c>
      <c r="D14" t="str">
        <f t="shared" si="0"/>
        <v>Incomplete</v>
      </c>
    </row>
    <row r="15" spans="1:9" x14ac:dyDescent="0.25">
      <c r="A15" t="s">
        <v>242</v>
      </c>
      <c r="B15">
        <v>181</v>
      </c>
      <c r="C15">
        <v>128</v>
      </c>
      <c r="D15" t="str">
        <f t="shared" si="0"/>
        <v>Completed</v>
      </c>
    </row>
  </sheetData>
  <phoneticPr fontId="2" type="noConversion"/>
  <conditionalFormatting sqref="A1:D15">
    <cfRule type="expression" dxfId="0" priority="1">
      <formula>$D1=$I$2</formula>
    </cfRule>
  </conditionalFormatting>
  <dataValidations count="1">
    <dataValidation type="list" allowBlank="1" showInputMessage="1" showErrorMessage="1" sqref="I2" xr:uid="{826448EE-747B-4713-9152-93ED52059676}">
      <formula1>"Incomplete,Completed"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0488-1B85-43A1-9FE8-A8497388E4A3}">
  <dimension ref="A1:I5"/>
  <sheetViews>
    <sheetView workbookViewId="0">
      <selection activeCell="I2" sqref="I2"/>
    </sheetView>
  </sheetViews>
  <sheetFormatPr defaultRowHeight="15" x14ac:dyDescent="0.25"/>
  <cols>
    <col min="1" max="1" width="10.42578125" bestFit="1" customWidth="1"/>
    <col min="5" max="5" width="10.42578125" bestFit="1" customWidth="1"/>
  </cols>
  <sheetData>
    <row r="1" spans="1:9" x14ac:dyDescent="0.25">
      <c r="A1">
        <v>3</v>
      </c>
      <c r="C1" t="s">
        <v>245</v>
      </c>
      <c r="E1" s="9">
        <v>46011</v>
      </c>
      <c r="G1">
        <v>10</v>
      </c>
      <c r="I1">
        <v>10</v>
      </c>
    </row>
    <row r="2" spans="1:9" x14ac:dyDescent="0.25">
      <c r="A2">
        <v>8</v>
      </c>
      <c r="C2" t="s">
        <v>245</v>
      </c>
      <c r="G2">
        <v>11</v>
      </c>
    </row>
    <row r="3" spans="1:9" x14ac:dyDescent="0.25">
      <c r="A3">
        <v>-3</v>
      </c>
      <c r="C3" t="s">
        <v>246</v>
      </c>
      <c r="G3">
        <v>11.3</v>
      </c>
    </row>
    <row r="4" spans="1:9" x14ac:dyDescent="0.25">
      <c r="A4">
        <v>-10</v>
      </c>
      <c r="C4" t="s">
        <v>247</v>
      </c>
      <c r="G4">
        <v>-14</v>
      </c>
    </row>
    <row r="5" spans="1:9" x14ac:dyDescent="0.25">
      <c r="A5">
        <v>10</v>
      </c>
    </row>
  </sheetData>
  <dataValidations count="5">
    <dataValidation type="whole" allowBlank="1" showInputMessage="1" showErrorMessage="1" sqref="A1:A10" xr:uid="{507F1679-293A-45D4-BCFA-70D319EC61A6}">
      <formula1>-10</formula1>
      <formula2>10</formula2>
    </dataValidation>
    <dataValidation type="list" allowBlank="1" showInputMessage="1" showErrorMessage="1" sqref="C1:C10" xr:uid="{B8D2A134-0852-4369-85C9-6CFB8E08F97C}">
      <formula1>"Yes,No,Unknown"</formula1>
    </dataValidation>
    <dataValidation type="date" allowBlank="1" showInputMessage="1" showErrorMessage="1" sqref="E1:E10" xr:uid="{6206496D-AFD6-4490-9E30-EC83F172203F}">
      <formula1>45992</formula1>
      <formula2>46022</formula2>
    </dataValidation>
    <dataValidation type="custom" allowBlank="1" showInputMessage="1" showErrorMessage="1" sqref="G1:G10" xr:uid="{D6441E90-4AC9-4B62-9035-321953AC7383}">
      <formula1>ISNUMBER(G1)</formula1>
    </dataValidation>
    <dataValidation type="custom" allowBlank="1" showInputMessage="1" showErrorMessage="1" sqref="I1:I10" xr:uid="{21438028-3318-487B-B275-2861FF761B9C}">
      <formula1>AND(ISNUMBER(I1),I1=INT(I1))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BF70-0AC9-467C-B907-E1E216452EF1}">
  <dimension ref="A1:D5"/>
  <sheetViews>
    <sheetView zoomScale="130" zoomScaleNormal="130" workbookViewId="0">
      <selection activeCell="H1" sqref="H1"/>
    </sheetView>
  </sheetViews>
  <sheetFormatPr defaultRowHeight="15" x14ac:dyDescent="0.25"/>
  <sheetData>
    <row r="1" spans="1:4" x14ac:dyDescent="0.25">
      <c r="A1" s="1" t="s">
        <v>248</v>
      </c>
      <c r="B1" s="1" t="s">
        <v>249</v>
      </c>
      <c r="C1" s="1" t="s">
        <v>250</v>
      </c>
      <c r="D1" s="1" t="s">
        <v>251</v>
      </c>
    </row>
    <row r="2" spans="1:4" x14ac:dyDescent="0.25">
      <c r="A2" t="s">
        <v>215</v>
      </c>
    </row>
    <row r="3" spans="1:4" x14ac:dyDescent="0.25">
      <c r="A3" t="s">
        <v>213</v>
      </c>
    </row>
    <row r="4" spans="1:4" x14ac:dyDescent="0.25">
      <c r="A4" t="s">
        <v>214</v>
      </c>
    </row>
    <row r="5" spans="1:4" x14ac:dyDescent="0.25">
      <c r="A5" t="s">
        <v>212</v>
      </c>
    </row>
  </sheetData>
  <dataValidations count="2">
    <dataValidation type="custom" allowBlank="1" showInputMessage="1" showErrorMessage="1" sqref="A1:A1048576" xr:uid="{244EA4C0-D99D-40B8-B1C8-5039C8C8C6C5}">
      <formula1>COUNTIF($A:$A,A1)=1</formula1>
    </dataValidation>
    <dataValidation type="custom" allowBlank="1" showInputMessage="1" showErrorMessage="1" sqref="B1:B1048576" xr:uid="{FBC5D8EA-AE12-4F0A-9819-5ABCB62E7FC8}">
      <formula1>NOT(ISBLANK(A1))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E3E2-761A-457D-8E0B-79FDAE3163F4}">
  <dimension ref="A1:A5"/>
  <sheetViews>
    <sheetView zoomScale="150" zoomScaleNormal="150" workbookViewId="0">
      <selection activeCell="A2" sqref="A2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>
        <v>1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7</v>
      </c>
    </row>
  </sheetData>
  <dataValidations count="1">
    <dataValidation type="custom" allowBlank="1" showInputMessage="1" showErrorMessage="1" sqref="A2:A1048576" xr:uid="{CCC281DA-7D80-4314-8A53-40B439314714}">
      <formula1>A2&gt;A1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16BC-3C33-47A3-BE96-91B92885F294}">
  <dimension ref="A1:C11"/>
  <sheetViews>
    <sheetView zoomScale="130" zoomScaleNormal="130" workbookViewId="0">
      <selection sqref="A1:C11"/>
    </sheetView>
  </sheetViews>
  <sheetFormatPr defaultRowHeight="15" x14ac:dyDescent="0.25"/>
  <sheetData>
    <row r="1" spans="1:3" x14ac:dyDescent="0.25">
      <c r="A1" s="1" t="s">
        <v>252</v>
      </c>
      <c r="B1" s="1" t="s">
        <v>231</v>
      </c>
      <c r="C1" s="1" t="s">
        <v>218</v>
      </c>
    </row>
    <row r="2" spans="1:3" x14ac:dyDescent="0.25">
      <c r="A2" t="s">
        <v>253</v>
      </c>
      <c r="B2">
        <v>153</v>
      </c>
      <c r="C2">
        <v>155</v>
      </c>
    </row>
    <row r="3" spans="1:3" x14ac:dyDescent="0.25">
      <c r="A3" t="s">
        <v>254</v>
      </c>
      <c r="B3">
        <v>102</v>
      </c>
      <c r="C3">
        <v>194</v>
      </c>
    </row>
    <row r="4" spans="1:3" x14ac:dyDescent="0.25">
      <c r="A4" t="s">
        <v>255</v>
      </c>
      <c r="B4">
        <v>104</v>
      </c>
      <c r="C4">
        <v>112</v>
      </c>
    </row>
    <row r="5" spans="1:3" x14ac:dyDescent="0.25">
      <c r="A5" t="s">
        <v>256</v>
      </c>
      <c r="B5">
        <v>197</v>
      </c>
      <c r="C5">
        <v>145</v>
      </c>
    </row>
    <row r="6" spans="1:3" x14ac:dyDescent="0.25">
      <c r="A6" t="s">
        <v>257</v>
      </c>
      <c r="B6">
        <v>127</v>
      </c>
      <c r="C6">
        <v>128</v>
      </c>
    </row>
    <row r="7" spans="1:3" x14ac:dyDescent="0.25">
      <c r="A7" t="s">
        <v>258</v>
      </c>
      <c r="B7">
        <v>189</v>
      </c>
      <c r="C7">
        <v>184</v>
      </c>
    </row>
    <row r="8" spans="1:3" x14ac:dyDescent="0.25">
      <c r="A8" t="s">
        <v>259</v>
      </c>
      <c r="B8">
        <v>168</v>
      </c>
      <c r="C8">
        <v>167</v>
      </c>
    </row>
    <row r="9" spans="1:3" x14ac:dyDescent="0.25">
      <c r="A9" t="s">
        <v>260</v>
      </c>
      <c r="B9">
        <v>134</v>
      </c>
      <c r="C9">
        <v>114</v>
      </c>
    </row>
    <row r="10" spans="1:3" x14ac:dyDescent="0.25">
      <c r="A10" t="s">
        <v>261</v>
      </c>
      <c r="B10">
        <v>148</v>
      </c>
      <c r="C10">
        <v>196</v>
      </c>
    </row>
    <row r="11" spans="1:3" x14ac:dyDescent="0.25">
      <c r="A11" t="s">
        <v>262</v>
      </c>
      <c r="B11">
        <v>183</v>
      </c>
      <c r="C11">
        <v>199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AD28-A687-4BD3-9904-B3EEA821B63F}">
  <dimension ref="A1:C11"/>
  <sheetViews>
    <sheetView zoomScale="130" zoomScaleNormal="130" workbookViewId="0">
      <selection activeCell="C13" sqref="C13"/>
    </sheetView>
  </sheetViews>
  <sheetFormatPr defaultRowHeight="15" x14ac:dyDescent="0.25"/>
  <sheetData>
    <row r="1" spans="1:3" x14ac:dyDescent="0.25">
      <c r="A1" s="1" t="s">
        <v>252</v>
      </c>
      <c r="B1" s="1" t="s">
        <v>231</v>
      </c>
      <c r="C1" s="1" t="s">
        <v>218</v>
      </c>
    </row>
    <row r="2" spans="1:3" x14ac:dyDescent="0.25">
      <c r="A2" t="s">
        <v>253</v>
      </c>
      <c r="B2">
        <v>153</v>
      </c>
      <c r="C2">
        <v>155</v>
      </c>
    </row>
    <row r="3" spans="1:3" x14ac:dyDescent="0.25">
      <c r="A3" t="s">
        <v>254</v>
      </c>
      <c r="B3">
        <v>102</v>
      </c>
      <c r="C3">
        <v>194</v>
      </c>
    </row>
    <row r="4" spans="1:3" x14ac:dyDescent="0.25">
      <c r="A4" t="s">
        <v>255</v>
      </c>
      <c r="B4">
        <v>104</v>
      </c>
      <c r="C4">
        <v>112</v>
      </c>
    </row>
    <row r="5" spans="1:3" x14ac:dyDescent="0.25">
      <c r="A5" t="s">
        <v>256</v>
      </c>
      <c r="B5">
        <v>197</v>
      </c>
      <c r="C5">
        <v>145</v>
      </c>
    </row>
    <row r="6" spans="1:3" x14ac:dyDescent="0.25">
      <c r="A6" t="s">
        <v>257</v>
      </c>
      <c r="B6">
        <v>127</v>
      </c>
      <c r="C6">
        <v>128</v>
      </c>
    </row>
    <row r="7" spans="1:3" x14ac:dyDescent="0.25">
      <c r="A7" t="s">
        <v>258</v>
      </c>
      <c r="B7">
        <v>189</v>
      </c>
      <c r="C7">
        <v>184</v>
      </c>
    </row>
    <row r="8" spans="1:3" x14ac:dyDescent="0.25">
      <c r="A8" t="s">
        <v>259</v>
      </c>
      <c r="B8">
        <v>168</v>
      </c>
      <c r="C8">
        <v>167</v>
      </c>
    </row>
    <row r="9" spans="1:3" x14ac:dyDescent="0.25">
      <c r="A9" t="s">
        <v>260</v>
      </c>
      <c r="B9">
        <v>134</v>
      </c>
      <c r="C9">
        <v>114</v>
      </c>
    </row>
    <row r="10" spans="1:3" x14ac:dyDescent="0.25">
      <c r="A10" t="s">
        <v>261</v>
      </c>
      <c r="B10">
        <v>148</v>
      </c>
      <c r="C10">
        <v>196</v>
      </c>
    </row>
    <row r="11" spans="1:3" x14ac:dyDescent="0.25">
      <c r="A11" t="s">
        <v>262</v>
      </c>
      <c r="B11">
        <v>183</v>
      </c>
      <c r="C11">
        <v>199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C8EA-AE37-41FE-839C-42B3ADE1EC5D}">
  <dimension ref="A1:B8"/>
  <sheetViews>
    <sheetView workbookViewId="0">
      <selection activeCell="F7" sqref="F7"/>
    </sheetView>
  </sheetViews>
  <sheetFormatPr defaultRowHeight="15" x14ac:dyDescent="0.25"/>
  <sheetData>
    <row r="1" spans="1:2" x14ac:dyDescent="0.25">
      <c r="A1" s="1" t="s">
        <v>220</v>
      </c>
      <c r="B1" s="1" t="s">
        <v>218</v>
      </c>
    </row>
    <row r="2" spans="1:2" x14ac:dyDescent="0.25">
      <c r="A2" t="s">
        <v>263</v>
      </c>
      <c r="B2">
        <v>193</v>
      </c>
    </row>
    <row r="3" spans="1:2" x14ac:dyDescent="0.25">
      <c r="A3" t="s">
        <v>264</v>
      </c>
      <c r="B3">
        <v>133</v>
      </c>
    </row>
    <row r="4" spans="1:2" x14ac:dyDescent="0.25">
      <c r="A4" t="s">
        <v>265</v>
      </c>
      <c r="B4">
        <v>101</v>
      </c>
    </row>
    <row r="5" spans="1:2" x14ac:dyDescent="0.25">
      <c r="A5" t="s">
        <v>266</v>
      </c>
      <c r="B5">
        <v>169</v>
      </c>
    </row>
    <row r="6" spans="1:2" x14ac:dyDescent="0.25">
      <c r="A6" t="s">
        <v>267</v>
      </c>
      <c r="B6">
        <v>123</v>
      </c>
    </row>
    <row r="7" spans="1:2" x14ac:dyDescent="0.25">
      <c r="A7" t="s">
        <v>268</v>
      </c>
      <c r="B7">
        <v>160</v>
      </c>
    </row>
    <row r="8" spans="1:2" x14ac:dyDescent="0.25">
      <c r="A8" t="s">
        <v>269</v>
      </c>
      <c r="B8">
        <v>199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EC13-95AB-4B7E-AB84-CCF153AA4595}">
  <dimension ref="A1:K13"/>
  <sheetViews>
    <sheetView workbookViewId="0">
      <selection activeCell="E16" sqref="E16"/>
    </sheetView>
  </sheetViews>
  <sheetFormatPr defaultRowHeight="15" x14ac:dyDescent="0.25"/>
  <cols>
    <col min="2" max="2" width="12.5703125" bestFit="1" customWidth="1"/>
    <col min="7" max="7" width="12.85546875" customWidth="1"/>
    <col min="8" max="8" width="12.28515625" customWidth="1"/>
  </cols>
  <sheetData>
    <row r="1" spans="1:11" x14ac:dyDescent="0.25">
      <c r="A1" s="1" t="s">
        <v>270</v>
      </c>
      <c r="B1" s="1" t="s">
        <v>190</v>
      </c>
      <c r="F1" s="1" t="s">
        <v>270</v>
      </c>
      <c r="G1" s="1" t="str">
        <f>"Not Top "&amp;K1</f>
        <v>Not Top 1</v>
      </c>
      <c r="H1" s="1" t="str">
        <f>"Top "&amp;K1</f>
        <v>Top 1</v>
      </c>
      <c r="K1">
        <v>1</v>
      </c>
    </row>
    <row r="2" spans="1:11" x14ac:dyDescent="0.25">
      <c r="A2" t="s">
        <v>271</v>
      </c>
      <c r="B2">
        <v>97</v>
      </c>
      <c r="F2" t="s">
        <v>271</v>
      </c>
      <c r="G2" t="e">
        <f>IF(B2&lt;LARGE($B$2:$B$13,$K$1),B2,NA())</f>
        <v>#N/A</v>
      </c>
      <c r="H2">
        <f>IF(B2&lt;LARGE($B$2:$B$13,$K$1),NA(),B2)</f>
        <v>97</v>
      </c>
      <c r="K2" s="8"/>
    </row>
    <row r="3" spans="1:11" x14ac:dyDescent="0.25">
      <c r="A3" t="s">
        <v>272</v>
      </c>
      <c r="B3">
        <v>66</v>
      </c>
      <c r="F3" t="s">
        <v>272</v>
      </c>
      <c r="G3">
        <f t="shared" ref="G3:G13" si="0">IF(B3&lt;LARGE($B$2:$B$13,$K$1),B3,NA())</f>
        <v>66</v>
      </c>
      <c r="H3" t="e">
        <f t="shared" ref="H3:H13" si="1">IF(B3&lt;LARGE($B$2:$B$13,$K$1),NA(),B3)</f>
        <v>#N/A</v>
      </c>
    </row>
    <row r="4" spans="1:11" x14ac:dyDescent="0.25">
      <c r="A4" t="s">
        <v>273</v>
      </c>
      <c r="B4">
        <v>75</v>
      </c>
      <c r="F4" t="s">
        <v>273</v>
      </c>
      <c r="G4">
        <f t="shared" si="0"/>
        <v>75</v>
      </c>
      <c r="H4" t="e">
        <f t="shared" si="1"/>
        <v>#N/A</v>
      </c>
    </row>
    <row r="5" spans="1:11" x14ac:dyDescent="0.25">
      <c r="A5" t="s">
        <v>274</v>
      </c>
      <c r="B5">
        <v>58</v>
      </c>
      <c r="F5" t="s">
        <v>274</v>
      </c>
      <c r="G5">
        <f t="shared" si="0"/>
        <v>58</v>
      </c>
      <c r="H5" t="e">
        <f t="shared" si="1"/>
        <v>#N/A</v>
      </c>
    </row>
    <row r="6" spans="1:11" x14ac:dyDescent="0.25">
      <c r="A6" t="s">
        <v>275</v>
      </c>
      <c r="B6">
        <v>60</v>
      </c>
      <c r="F6" t="s">
        <v>275</v>
      </c>
      <c r="G6">
        <f t="shared" si="0"/>
        <v>60</v>
      </c>
      <c r="H6" t="e">
        <f t="shared" si="1"/>
        <v>#N/A</v>
      </c>
    </row>
    <row r="7" spans="1:11" x14ac:dyDescent="0.25">
      <c r="A7" t="s">
        <v>276</v>
      </c>
      <c r="B7">
        <v>39</v>
      </c>
      <c r="F7" t="s">
        <v>276</v>
      </c>
      <c r="G7">
        <f t="shared" si="0"/>
        <v>39</v>
      </c>
      <c r="H7" t="e">
        <f t="shared" si="1"/>
        <v>#N/A</v>
      </c>
    </row>
    <row r="8" spans="1:11" x14ac:dyDescent="0.25">
      <c r="A8" t="s">
        <v>277</v>
      </c>
      <c r="B8">
        <v>25</v>
      </c>
      <c r="F8" t="s">
        <v>277</v>
      </c>
      <c r="G8">
        <f t="shared" si="0"/>
        <v>25</v>
      </c>
      <c r="H8" t="e">
        <f t="shared" si="1"/>
        <v>#N/A</v>
      </c>
    </row>
    <row r="9" spans="1:11" x14ac:dyDescent="0.25">
      <c r="A9" t="s">
        <v>278</v>
      </c>
      <c r="B9">
        <v>52</v>
      </c>
      <c r="F9" t="s">
        <v>278</v>
      </c>
      <c r="G9">
        <f t="shared" si="0"/>
        <v>52</v>
      </c>
      <c r="H9" t="e">
        <f t="shared" si="1"/>
        <v>#N/A</v>
      </c>
    </row>
    <row r="10" spans="1:11" x14ac:dyDescent="0.25">
      <c r="A10" t="s">
        <v>279</v>
      </c>
      <c r="B10">
        <v>42</v>
      </c>
      <c r="F10" t="s">
        <v>279</v>
      </c>
      <c r="G10">
        <f t="shared" si="0"/>
        <v>42</v>
      </c>
      <c r="H10" t="e">
        <f t="shared" si="1"/>
        <v>#N/A</v>
      </c>
    </row>
    <row r="11" spans="1:11" x14ac:dyDescent="0.25">
      <c r="A11" t="s">
        <v>280</v>
      </c>
      <c r="B11">
        <v>51</v>
      </c>
      <c r="F11" t="s">
        <v>280</v>
      </c>
      <c r="G11">
        <f t="shared" si="0"/>
        <v>51</v>
      </c>
      <c r="H11" t="e">
        <f t="shared" si="1"/>
        <v>#N/A</v>
      </c>
    </row>
    <row r="12" spans="1:11" x14ac:dyDescent="0.25">
      <c r="A12" t="s">
        <v>281</v>
      </c>
      <c r="B12">
        <v>24</v>
      </c>
      <c r="F12" t="s">
        <v>281</v>
      </c>
      <c r="G12">
        <f t="shared" si="0"/>
        <v>24</v>
      </c>
      <c r="H12" t="e">
        <f t="shared" si="1"/>
        <v>#N/A</v>
      </c>
    </row>
    <row r="13" spans="1:11" x14ac:dyDescent="0.25">
      <c r="A13" t="s">
        <v>282</v>
      </c>
      <c r="B13">
        <v>76</v>
      </c>
      <c r="F13" t="s">
        <v>282</v>
      </c>
      <c r="G13">
        <f t="shared" si="0"/>
        <v>76</v>
      </c>
      <c r="H13" t="e">
        <f t="shared" si="1"/>
        <v>#N/A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3" name="Spinner 1">
              <controlPr defaultSize="0" autoPict="0">
                <anchor moveWithCells="1" sizeWithCells="1">
                  <from>
                    <xdr:col>11</xdr:col>
                    <xdr:colOff>209550</xdr:colOff>
                    <xdr:row>0</xdr:row>
                    <xdr:rowOff>57150</xdr:rowOff>
                  </from>
                  <to>
                    <xdr:col>11</xdr:col>
                    <xdr:colOff>552450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9BD5-029D-4F6E-8996-68D7B010B09E}">
  <dimension ref="A1:G19"/>
  <sheetViews>
    <sheetView zoomScale="110" zoomScaleNormal="110" workbookViewId="0">
      <selection activeCell="Q6" sqref="Q6"/>
    </sheetView>
  </sheetViews>
  <sheetFormatPr defaultRowHeight="15" x14ac:dyDescent="0.25"/>
  <sheetData>
    <row r="1" spans="1:7" x14ac:dyDescent="0.25">
      <c r="A1" s="1" t="s">
        <v>270</v>
      </c>
      <c r="B1" s="1" t="s">
        <v>218</v>
      </c>
      <c r="E1" s="1" t="s">
        <v>270</v>
      </c>
      <c r="F1" s="1" t="s">
        <v>218</v>
      </c>
      <c r="G1" s="1" t="s">
        <v>283</v>
      </c>
    </row>
    <row r="2" spans="1:7" x14ac:dyDescent="0.25">
      <c r="A2" t="s">
        <v>271</v>
      </c>
      <c r="B2">
        <v>132</v>
      </c>
      <c r="E2" t="s">
        <v>271</v>
      </c>
      <c r="F2">
        <f ca="1">RANDBETWEEN(100,200)+ROW()*5</f>
        <v>159</v>
      </c>
      <c r="G2" t="e">
        <f>NA()</f>
        <v>#N/A</v>
      </c>
    </row>
    <row r="3" spans="1:7" x14ac:dyDescent="0.25">
      <c r="A3" t="s">
        <v>272</v>
      </c>
      <c r="B3">
        <v>112</v>
      </c>
      <c r="E3" t="s">
        <v>272</v>
      </c>
      <c r="F3">
        <f t="shared" ref="F3:F13" ca="1" si="0">RANDBETWEEN(100,200)+ROW()*5</f>
        <v>117</v>
      </c>
      <c r="G3" t="e">
        <f>NA()</f>
        <v>#N/A</v>
      </c>
    </row>
    <row r="4" spans="1:7" x14ac:dyDescent="0.25">
      <c r="A4" t="s">
        <v>273</v>
      </c>
      <c r="B4">
        <v>132</v>
      </c>
      <c r="E4" t="s">
        <v>273</v>
      </c>
      <c r="F4">
        <f t="shared" ca="1" si="0"/>
        <v>126</v>
      </c>
      <c r="G4" t="e">
        <f>NA()</f>
        <v>#N/A</v>
      </c>
    </row>
    <row r="5" spans="1:7" x14ac:dyDescent="0.25">
      <c r="A5" t="s">
        <v>274</v>
      </c>
      <c r="B5">
        <v>132</v>
      </c>
      <c r="E5" t="s">
        <v>274</v>
      </c>
      <c r="F5">
        <f t="shared" ca="1" si="0"/>
        <v>188</v>
      </c>
      <c r="G5" t="e">
        <f>NA()</f>
        <v>#N/A</v>
      </c>
    </row>
    <row r="6" spans="1:7" x14ac:dyDescent="0.25">
      <c r="A6" t="s">
        <v>275</v>
      </c>
      <c r="B6">
        <v>182</v>
      </c>
      <c r="E6" t="s">
        <v>275</v>
      </c>
      <c r="F6">
        <f t="shared" ca="1" si="0"/>
        <v>168</v>
      </c>
      <c r="G6" t="e">
        <f>NA()</f>
        <v>#N/A</v>
      </c>
    </row>
    <row r="7" spans="1:7" x14ac:dyDescent="0.25">
      <c r="A7" t="s">
        <v>276</v>
      </c>
      <c r="B7">
        <v>168</v>
      </c>
      <c r="E7" t="s">
        <v>276</v>
      </c>
      <c r="F7">
        <f t="shared" ca="1" si="0"/>
        <v>213</v>
      </c>
      <c r="G7" t="e">
        <f>NA()</f>
        <v>#N/A</v>
      </c>
    </row>
    <row r="8" spans="1:7" x14ac:dyDescent="0.25">
      <c r="A8" t="s">
        <v>277</v>
      </c>
      <c r="B8">
        <v>174</v>
      </c>
      <c r="E8" t="s">
        <v>277</v>
      </c>
      <c r="F8">
        <f t="shared" ca="1" si="0"/>
        <v>219</v>
      </c>
      <c r="G8" t="e">
        <f>NA()</f>
        <v>#N/A</v>
      </c>
    </row>
    <row r="9" spans="1:7" x14ac:dyDescent="0.25">
      <c r="A9" t="s">
        <v>278</v>
      </c>
      <c r="B9">
        <v>159</v>
      </c>
      <c r="E9" t="s">
        <v>278</v>
      </c>
      <c r="F9">
        <f t="shared" ca="1" si="0"/>
        <v>153</v>
      </c>
      <c r="G9" t="e">
        <f>NA()</f>
        <v>#N/A</v>
      </c>
    </row>
    <row r="10" spans="1:7" x14ac:dyDescent="0.25">
      <c r="A10" t="s">
        <v>279</v>
      </c>
      <c r="B10">
        <v>112</v>
      </c>
      <c r="E10" t="s">
        <v>279</v>
      </c>
      <c r="F10">
        <f t="shared" ca="1" si="0"/>
        <v>217</v>
      </c>
      <c r="G10" t="e">
        <f>NA()</f>
        <v>#N/A</v>
      </c>
    </row>
    <row r="11" spans="1:7" x14ac:dyDescent="0.25">
      <c r="A11" t="s">
        <v>280</v>
      </c>
      <c r="B11">
        <v>184</v>
      </c>
      <c r="E11" t="s">
        <v>280</v>
      </c>
      <c r="F11">
        <f t="shared" ca="1" si="0"/>
        <v>245</v>
      </c>
      <c r="G11" t="e">
        <f>NA()</f>
        <v>#N/A</v>
      </c>
    </row>
    <row r="12" spans="1:7" x14ac:dyDescent="0.25">
      <c r="A12" t="s">
        <v>281</v>
      </c>
      <c r="B12">
        <v>159</v>
      </c>
      <c r="E12" t="s">
        <v>281</v>
      </c>
      <c r="F12">
        <f t="shared" ca="1" si="0"/>
        <v>182</v>
      </c>
      <c r="G12" t="e">
        <f>NA()</f>
        <v>#N/A</v>
      </c>
    </row>
    <row r="13" spans="1:7" x14ac:dyDescent="0.25">
      <c r="A13" t="s">
        <v>282</v>
      </c>
      <c r="B13">
        <v>108</v>
      </c>
      <c r="E13" t="s">
        <v>282</v>
      </c>
      <c r="F13">
        <f t="shared" ca="1" si="0"/>
        <v>232</v>
      </c>
      <c r="G13">
        <f ca="1">F13</f>
        <v>232</v>
      </c>
    </row>
    <row r="14" spans="1:7" x14ac:dyDescent="0.25">
      <c r="A14" t="s">
        <v>271</v>
      </c>
      <c r="B14">
        <v>139</v>
      </c>
      <c r="E14" t="s">
        <v>271</v>
      </c>
      <c r="F14" t="e">
        <f>NA()</f>
        <v>#N/A</v>
      </c>
      <c r="G14">
        <f ca="1">RANDBETWEEN(100,200)+ROW()*5</f>
        <v>239</v>
      </c>
    </row>
    <row r="15" spans="1:7" x14ac:dyDescent="0.25">
      <c r="A15" t="s">
        <v>272</v>
      </c>
      <c r="B15">
        <v>173</v>
      </c>
      <c r="E15" t="s">
        <v>272</v>
      </c>
      <c r="F15" t="e">
        <f>NA()</f>
        <v>#N/A</v>
      </c>
      <c r="G15">
        <f t="shared" ref="G15:G19" ca="1" si="1">RANDBETWEEN(100,200)+ROW()*5</f>
        <v>254</v>
      </c>
    </row>
    <row r="16" spans="1:7" x14ac:dyDescent="0.25">
      <c r="A16" t="s">
        <v>273</v>
      </c>
      <c r="B16">
        <v>187</v>
      </c>
      <c r="E16" t="s">
        <v>273</v>
      </c>
      <c r="F16" t="e">
        <f>NA()</f>
        <v>#N/A</v>
      </c>
      <c r="G16">
        <f t="shared" ca="1" si="1"/>
        <v>275</v>
      </c>
    </row>
    <row r="17" spans="1:7" x14ac:dyDescent="0.25">
      <c r="A17" t="s">
        <v>274</v>
      </c>
      <c r="B17">
        <v>119</v>
      </c>
      <c r="E17" t="s">
        <v>274</v>
      </c>
      <c r="F17" t="e">
        <f>NA()</f>
        <v>#N/A</v>
      </c>
      <c r="G17">
        <f t="shared" ca="1" si="1"/>
        <v>219</v>
      </c>
    </row>
    <row r="18" spans="1:7" x14ac:dyDescent="0.25">
      <c r="A18" t="s">
        <v>275</v>
      </c>
      <c r="B18">
        <v>142</v>
      </c>
      <c r="E18" t="s">
        <v>275</v>
      </c>
      <c r="F18" t="e">
        <f>NA()</f>
        <v>#N/A</v>
      </c>
      <c r="G18">
        <f t="shared" ca="1" si="1"/>
        <v>235</v>
      </c>
    </row>
    <row r="19" spans="1:7" x14ac:dyDescent="0.25">
      <c r="A19" t="s">
        <v>276</v>
      </c>
      <c r="B19">
        <v>105</v>
      </c>
      <c r="E19" t="s">
        <v>276</v>
      </c>
      <c r="F19" t="e">
        <f>NA()</f>
        <v>#N/A</v>
      </c>
      <c r="G19">
        <f t="shared" ca="1" si="1"/>
        <v>242</v>
      </c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1EDA-847C-40E2-B7AC-A3CF949B4E2D}">
  <dimension ref="A1:L13"/>
  <sheetViews>
    <sheetView zoomScale="110" zoomScaleNormal="110" workbookViewId="0">
      <selection activeCell="F13" sqref="F13"/>
    </sheetView>
  </sheetViews>
  <sheetFormatPr defaultRowHeight="15" x14ac:dyDescent="0.25"/>
  <cols>
    <col min="7" max="7" width="8.28515625" customWidth="1"/>
  </cols>
  <sheetData>
    <row r="1" spans="1:12" x14ac:dyDescent="0.25">
      <c r="A1" s="1" t="s">
        <v>270</v>
      </c>
      <c r="B1" s="1" t="s">
        <v>284</v>
      </c>
      <c r="C1" s="1" t="s">
        <v>285</v>
      </c>
      <c r="D1" s="1" t="s">
        <v>286</v>
      </c>
      <c r="H1" s="1"/>
      <c r="I1" s="1" t="s">
        <v>270</v>
      </c>
      <c r="J1" s="1" t="s">
        <v>284</v>
      </c>
      <c r="K1" s="1" t="s">
        <v>285</v>
      </c>
      <c r="L1" s="1" t="s">
        <v>286</v>
      </c>
    </row>
    <row r="2" spans="1:12" x14ac:dyDescent="0.25">
      <c r="A2" t="s">
        <v>271</v>
      </c>
      <c r="B2">
        <v>197</v>
      </c>
      <c r="C2">
        <v>135</v>
      </c>
      <c r="D2">
        <v>204</v>
      </c>
      <c r="I2" t="s">
        <v>271</v>
      </c>
      <c r="J2">
        <f>IF($G$5,B2,NA())</f>
        <v>197</v>
      </c>
      <c r="K2">
        <f>IF($G$6,C2,NA())</f>
        <v>135</v>
      </c>
      <c r="L2">
        <f>IF($G$7,D2,NA())</f>
        <v>204</v>
      </c>
    </row>
    <row r="3" spans="1:12" x14ac:dyDescent="0.25">
      <c r="A3" t="s">
        <v>272</v>
      </c>
      <c r="B3">
        <v>198</v>
      </c>
      <c r="C3">
        <v>212</v>
      </c>
      <c r="D3">
        <v>145</v>
      </c>
      <c r="I3" t="s">
        <v>272</v>
      </c>
      <c r="J3">
        <f t="shared" ref="J3:J13" si="0">IF($G$5,B3,NA())</f>
        <v>198</v>
      </c>
      <c r="K3">
        <f t="shared" ref="K3:K13" si="1">IF($G$6,C3,NA())</f>
        <v>212</v>
      </c>
      <c r="L3">
        <f t="shared" ref="L3:L13" si="2">IF($G$7,D3,NA())</f>
        <v>145</v>
      </c>
    </row>
    <row r="4" spans="1:12" x14ac:dyDescent="0.25">
      <c r="A4" t="s">
        <v>273</v>
      </c>
      <c r="B4">
        <v>199</v>
      </c>
      <c r="C4">
        <v>141</v>
      </c>
      <c r="D4">
        <v>155</v>
      </c>
      <c r="I4" t="s">
        <v>273</v>
      </c>
      <c r="J4">
        <f t="shared" si="0"/>
        <v>199</v>
      </c>
      <c r="K4">
        <f t="shared" si="1"/>
        <v>141</v>
      </c>
      <c r="L4">
        <f t="shared" si="2"/>
        <v>155</v>
      </c>
    </row>
    <row r="5" spans="1:12" x14ac:dyDescent="0.25">
      <c r="A5" t="s">
        <v>274</v>
      </c>
      <c r="B5">
        <v>126</v>
      </c>
      <c r="C5">
        <v>216</v>
      </c>
      <c r="D5">
        <v>160</v>
      </c>
      <c r="G5" t="b">
        <v>1</v>
      </c>
      <c r="I5" t="s">
        <v>274</v>
      </c>
      <c r="J5">
        <f t="shared" si="0"/>
        <v>126</v>
      </c>
      <c r="K5">
        <f t="shared" si="1"/>
        <v>216</v>
      </c>
      <c r="L5">
        <f t="shared" si="2"/>
        <v>160</v>
      </c>
    </row>
    <row r="6" spans="1:12" x14ac:dyDescent="0.25">
      <c r="A6" t="s">
        <v>275</v>
      </c>
      <c r="B6">
        <v>124</v>
      </c>
      <c r="C6">
        <v>134</v>
      </c>
      <c r="D6">
        <v>139</v>
      </c>
      <c r="G6" t="b">
        <v>1</v>
      </c>
      <c r="I6" t="s">
        <v>275</v>
      </c>
      <c r="J6">
        <f t="shared" si="0"/>
        <v>124</v>
      </c>
      <c r="K6">
        <f t="shared" si="1"/>
        <v>134</v>
      </c>
      <c r="L6">
        <f t="shared" si="2"/>
        <v>139</v>
      </c>
    </row>
    <row r="7" spans="1:12" x14ac:dyDescent="0.25">
      <c r="A7" t="s">
        <v>276</v>
      </c>
      <c r="B7">
        <v>178</v>
      </c>
      <c r="C7">
        <v>178</v>
      </c>
      <c r="D7">
        <v>137</v>
      </c>
      <c r="G7" t="b">
        <v>1</v>
      </c>
      <c r="I7" t="s">
        <v>276</v>
      </c>
      <c r="J7">
        <f t="shared" si="0"/>
        <v>178</v>
      </c>
      <c r="K7">
        <f t="shared" si="1"/>
        <v>178</v>
      </c>
      <c r="L7">
        <f t="shared" si="2"/>
        <v>137</v>
      </c>
    </row>
    <row r="8" spans="1:12" x14ac:dyDescent="0.25">
      <c r="A8" t="s">
        <v>277</v>
      </c>
      <c r="B8">
        <v>144</v>
      </c>
      <c r="C8">
        <v>141</v>
      </c>
      <c r="D8">
        <v>190</v>
      </c>
      <c r="I8" t="s">
        <v>277</v>
      </c>
      <c r="J8">
        <f t="shared" si="0"/>
        <v>144</v>
      </c>
      <c r="K8">
        <f t="shared" si="1"/>
        <v>141</v>
      </c>
      <c r="L8">
        <f t="shared" si="2"/>
        <v>190</v>
      </c>
    </row>
    <row r="9" spans="1:12" x14ac:dyDescent="0.25">
      <c r="A9" t="s">
        <v>278</v>
      </c>
      <c r="B9">
        <v>185</v>
      </c>
      <c r="C9">
        <v>191</v>
      </c>
      <c r="D9">
        <v>140</v>
      </c>
      <c r="I9" t="s">
        <v>278</v>
      </c>
      <c r="J9">
        <f t="shared" si="0"/>
        <v>185</v>
      </c>
      <c r="K9">
        <f t="shared" si="1"/>
        <v>191</v>
      </c>
      <c r="L9">
        <f t="shared" si="2"/>
        <v>140</v>
      </c>
    </row>
    <row r="10" spans="1:12" x14ac:dyDescent="0.25">
      <c r="A10" t="s">
        <v>279</v>
      </c>
      <c r="B10">
        <v>218</v>
      </c>
      <c r="C10">
        <v>142</v>
      </c>
      <c r="D10">
        <v>178</v>
      </c>
      <c r="I10" t="s">
        <v>279</v>
      </c>
      <c r="J10">
        <f t="shared" si="0"/>
        <v>218</v>
      </c>
      <c r="K10">
        <f t="shared" si="1"/>
        <v>142</v>
      </c>
      <c r="L10">
        <f t="shared" si="2"/>
        <v>178</v>
      </c>
    </row>
    <row r="11" spans="1:12" x14ac:dyDescent="0.25">
      <c r="A11" t="s">
        <v>280</v>
      </c>
      <c r="B11">
        <v>144</v>
      </c>
      <c r="C11">
        <v>224</v>
      </c>
      <c r="D11">
        <v>169</v>
      </c>
      <c r="I11" t="s">
        <v>280</v>
      </c>
      <c r="J11">
        <f t="shared" si="0"/>
        <v>144</v>
      </c>
      <c r="K11">
        <f t="shared" si="1"/>
        <v>224</v>
      </c>
      <c r="L11">
        <f t="shared" si="2"/>
        <v>169</v>
      </c>
    </row>
    <row r="12" spans="1:12" x14ac:dyDescent="0.25">
      <c r="A12" t="s">
        <v>281</v>
      </c>
      <c r="B12">
        <v>199</v>
      </c>
      <c r="C12">
        <v>238</v>
      </c>
      <c r="D12">
        <v>241</v>
      </c>
      <c r="I12" t="s">
        <v>281</v>
      </c>
      <c r="J12">
        <f t="shared" si="0"/>
        <v>199</v>
      </c>
      <c r="K12">
        <f t="shared" si="1"/>
        <v>238</v>
      </c>
      <c r="L12">
        <f t="shared" si="2"/>
        <v>241</v>
      </c>
    </row>
    <row r="13" spans="1:12" x14ac:dyDescent="0.25">
      <c r="A13" t="s">
        <v>282</v>
      </c>
      <c r="B13">
        <v>228</v>
      </c>
      <c r="C13">
        <v>249</v>
      </c>
      <c r="D13">
        <v>224</v>
      </c>
      <c r="I13" t="s">
        <v>282</v>
      </c>
      <c r="J13">
        <f t="shared" si="0"/>
        <v>228</v>
      </c>
      <c r="K13">
        <f t="shared" si="1"/>
        <v>249</v>
      </c>
      <c r="L13">
        <f t="shared" si="2"/>
        <v>224</v>
      </c>
    </row>
  </sheetData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3" name="Check Box 1">
              <controlPr defaultSize="0" autoFill="0" autoLine="0" autoPict="0">
                <anchor moveWithCells="1">
                  <from>
                    <xdr:col>4</xdr:col>
                    <xdr:colOff>542925</xdr:colOff>
                    <xdr:row>3</xdr:row>
                    <xdr:rowOff>152400</xdr:rowOff>
                  </from>
                  <to>
                    <xdr:col>6</xdr:col>
                    <xdr:colOff>38100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4" name="Check Box 2">
              <controlPr defaultSize="0" autoFill="0" autoLine="0" autoPict="0">
                <anchor moveWithCells="1">
                  <from>
                    <xdr:col>4</xdr:col>
                    <xdr:colOff>542925</xdr:colOff>
                    <xdr:row>4</xdr:row>
                    <xdr:rowOff>180975</xdr:rowOff>
                  </from>
                  <to>
                    <xdr:col>6</xdr:col>
                    <xdr:colOff>38100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7" r:id="rId5" name="Check Box 3">
              <controlPr defaultSize="0" autoFill="0" autoLine="0" autoPict="0">
                <anchor moveWithCells="1">
                  <from>
                    <xdr:col>4</xdr:col>
                    <xdr:colOff>542925</xdr:colOff>
                    <xdr:row>6</xdr:row>
                    <xdr:rowOff>19050</xdr:rowOff>
                  </from>
                  <to>
                    <xdr:col>6</xdr:col>
                    <xdr:colOff>38100</xdr:colOff>
                    <xdr:row>7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7F9F-0579-442C-911C-B1B4FE232AC1}">
  <dimension ref="A3:C20"/>
  <sheetViews>
    <sheetView workbookViewId="0">
      <selection activeCell="B7" sqref="B7"/>
    </sheetView>
  </sheetViews>
  <sheetFormatPr defaultRowHeight="15" x14ac:dyDescent="0.25"/>
  <cols>
    <col min="1" max="2" width="12.7109375" bestFit="1" customWidth="1"/>
    <col min="3" max="3" width="9.28515625" bestFit="1" customWidth="1"/>
    <col min="4" max="4" width="8.5703125" bestFit="1" customWidth="1"/>
    <col min="5" max="5" width="11.28515625" bestFit="1" customWidth="1"/>
    <col min="6" max="6" width="12.5703125" bestFit="1" customWidth="1"/>
    <col min="7" max="7" width="12.7109375" bestFit="1" customWidth="1"/>
    <col min="8" max="8" width="17.7109375" bestFit="1" customWidth="1"/>
    <col min="9" max="9" width="17.85546875" bestFit="1" customWidth="1"/>
  </cols>
  <sheetData>
    <row r="3" spans="1:3" x14ac:dyDescent="0.25">
      <c r="A3" s="11"/>
      <c r="B3" s="12"/>
      <c r="C3" s="13"/>
    </row>
    <row r="4" spans="1:3" x14ac:dyDescent="0.25">
      <c r="A4" s="14"/>
      <c r="B4" s="15"/>
      <c r="C4" s="16"/>
    </row>
    <row r="5" spans="1:3" x14ac:dyDescent="0.25">
      <c r="A5" s="14"/>
      <c r="B5" s="15"/>
      <c r="C5" s="16"/>
    </row>
    <row r="6" spans="1:3" x14ac:dyDescent="0.25">
      <c r="A6" s="14"/>
      <c r="B6" s="15"/>
      <c r="C6" s="16"/>
    </row>
    <row r="7" spans="1:3" x14ac:dyDescent="0.25">
      <c r="A7" s="14"/>
      <c r="B7" s="15"/>
      <c r="C7" s="16"/>
    </row>
    <row r="8" spans="1:3" x14ac:dyDescent="0.25">
      <c r="A8" s="14"/>
      <c r="B8" s="15"/>
      <c r="C8" s="16"/>
    </row>
    <row r="9" spans="1:3" x14ac:dyDescent="0.25">
      <c r="A9" s="14"/>
      <c r="B9" s="15"/>
      <c r="C9" s="16"/>
    </row>
    <row r="10" spans="1:3" x14ac:dyDescent="0.25">
      <c r="A10" s="14"/>
      <c r="B10" s="15"/>
      <c r="C10" s="16"/>
    </row>
    <row r="11" spans="1:3" x14ac:dyDescent="0.25">
      <c r="A11" s="14"/>
      <c r="B11" s="15"/>
      <c r="C11" s="16"/>
    </row>
    <row r="12" spans="1:3" x14ac:dyDescent="0.25">
      <c r="A12" s="14"/>
      <c r="B12" s="15"/>
      <c r="C12" s="16"/>
    </row>
    <row r="13" spans="1:3" x14ac:dyDescent="0.25">
      <c r="A13" s="14"/>
      <c r="B13" s="15"/>
      <c r="C13" s="16"/>
    </row>
    <row r="14" spans="1:3" x14ac:dyDescent="0.25">
      <c r="A14" s="14"/>
      <c r="B14" s="15"/>
      <c r="C14" s="16"/>
    </row>
    <row r="15" spans="1:3" x14ac:dyDescent="0.25">
      <c r="A15" s="14"/>
      <c r="B15" s="15"/>
      <c r="C15" s="16"/>
    </row>
    <row r="16" spans="1:3" x14ac:dyDescent="0.25">
      <c r="A16" s="14"/>
      <c r="B16" s="15"/>
      <c r="C16" s="16"/>
    </row>
    <row r="17" spans="1:3" x14ac:dyDescent="0.25">
      <c r="A17" s="14"/>
      <c r="B17" s="15"/>
      <c r="C17" s="16"/>
    </row>
    <row r="18" spans="1:3" x14ac:dyDescent="0.25">
      <c r="A18" s="14"/>
      <c r="B18" s="15"/>
      <c r="C18" s="16"/>
    </row>
    <row r="19" spans="1:3" x14ac:dyDescent="0.25">
      <c r="A19" s="14"/>
      <c r="B19" s="15"/>
      <c r="C19" s="16"/>
    </row>
    <row r="20" spans="1:3" x14ac:dyDescent="0.25">
      <c r="A20" s="17"/>
      <c r="B20" s="18"/>
      <c r="C20" s="1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36D9-8716-40D7-BAEE-FA2D3E4FF6E2}">
  <dimension ref="A3:E9"/>
  <sheetViews>
    <sheetView workbookViewId="0">
      <selection activeCell="C8" sqref="C8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4" width="7" bestFit="1" customWidth="1"/>
    <col min="5" max="5" width="11.28515625" bestFit="1" customWidth="1"/>
  </cols>
  <sheetData>
    <row r="3" spans="1:5" x14ac:dyDescent="0.25">
      <c r="A3" s="20" t="s">
        <v>296</v>
      </c>
      <c r="B3" s="20" t="s">
        <v>297</v>
      </c>
    </row>
    <row r="4" spans="1:5" x14ac:dyDescent="0.25">
      <c r="A4" s="20" t="s">
        <v>294</v>
      </c>
      <c r="B4" t="s">
        <v>0</v>
      </c>
      <c r="C4" t="s">
        <v>1</v>
      </c>
      <c r="D4" t="s">
        <v>2</v>
      </c>
      <c r="E4" t="s">
        <v>295</v>
      </c>
    </row>
    <row r="5" spans="1:5" x14ac:dyDescent="0.25">
      <c r="A5" s="21" t="s">
        <v>291</v>
      </c>
      <c r="B5">
        <v>193052</v>
      </c>
      <c r="C5">
        <v>221022</v>
      </c>
      <c r="D5">
        <v>274485</v>
      </c>
      <c r="E5">
        <v>688559</v>
      </c>
    </row>
    <row r="6" spans="1:5" x14ac:dyDescent="0.25">
      <c r="A6" s="21" t="s">
        <v>288</v>
      </c>
      <c r="B6">
        <v>230477</v>
      </c>
      <c r="C6">
        <v>198227</v>
      </c>
      <c r="D6">
        <v>193965</v>
      </c>
      <c r="E6">
        <v>622669</v>
      </c>
    </row>
    <row r="7" spans="1:5" x14ac:dyDescent="0.25">
      <c r="A7" s="21" t="s">
        <v>292</v>
      </c>
      <c r="B7">
        <v>129565</v>
      </c>
      <c r="C7">
        <v>274737</v>
      </c>
      <c r="D7">
        <v>135810</v>
      </c>
      <c r="E7">
        <v>540112</v>
      </c>
    </row>
    <row r="8" spans="1:5" x14ac:dyDescent="0.25">
      <c r="A8" s="21" t="s">
        <v>289</v>
      </c>
      <c r="B8">
        <v>265647</v>
      </c>
      <c r="C8">
        <v>188609</v>
      </c>
      <c r="D8">
        <v>268226</v>
      </c>
      <c r="E8">
        <v>722482</v>
      </c>
    </row>
    <row r="9" spans="1:5" x14ac:dyDescent="0.25">
      <c r="A9" s="21" t="s">
        <v>295</v>
      </c>
      <c r="B9">
        <v>818741</v>
      </c>
      <c r="C9">
        <v>882595</v>
      </c>
      <c r="D9">
        <v>872486</v>
      </c>
      <c r="E9">
        <v>2573822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513-59DE-49FF-9740-97D260F65B74}">
  <dimension ref="A1:G101"/>
  <sheetViews>
    <sheetView topLeftCell="A87" zoomScale="120" zoomScaleNormal="120" workbookViewId="0">
      <selection sqref="A1:G101"/>
    </sheetView>
  </sheetViews>
  <sheetFormatPr defaultRowHeight="15" x14ac:dyDescent="0.25"/>
  <cols>
    <col min="3" max="3" width="9.42578125" customWidth="1"/>
    <col min="4" max="4" width="10.140625" customWidth="1"/>
    <col min="7" max="7" width="15.140625" customWidth="1"/>
  </cols>
  <sheetData>
    <row r="1" spans="1:7" x14ac:dyDescent="0.25">
      <c r="A1" s="1" t="s">
        <v>252</v>
      </c>
      <c r="B1" s="1" t="s">
        <v>270</v>
      </c>
      <c r="C1" s="1" t="s">
        <v>220</v>
      </c>
      <c r="D1" s="1" t="s">
        <v>10</v>
      </c>
      <c r="E1" s="1" t="s">
        <v>218</v>
      </c>
      <c r="F1" s="1" t="s">
        <v>287</v>
      </c>
      <c r="G1" s="1" t="s">
        <v>217</v>
      </c>
    </row>
    <row r="2" spans="1:7" x14ac:dyDescent="0.25">
      <c r="A2" t="s">
        <v>291</v>
      </c>
      <c r="B2" t="str">
        <f>TEXT(G2,"MMM")</f>
        <v>Jan</v>
      </c>
      <c r="C2" t="s">
        <v>225</v>
      </c>
      <c r="D2" t="s">
        <v>2</v>
      </c>
      <c r="E2">
        <v>10107</v>
      </c>
      <c r="F2">
        <v>2021.4</v>
      </c>
      <c r="G2" s="9">
        <v>45673</v>
      </c>
    </row>
    <row r="3" spans="1:7" x14ac:dyDescent="0.25">
      <c r="A3" t="s">
        <v>292</v>
      </c>
      <c r="B3" t="str">
        <f t="shared" ref="B3:B66" si="0">TEXT(G3,"MMM")</f>
        <v>Jan</v>
      </c>
      <c r="C3" t="s">
        <v>223</v>
      </c>
      <c r="D3" t="s">
        <v>1</v>
      </c>
      <c r="E3">
        <v>34572</v>
      </c>
      <c r="F3">
        <v>6914.4</v>
      </c>
      <c r="G3" s="9">
        <v>45684</v>
      </c>
    </row>
    <row r="4" spans="1:7" x14ac:dyDescent="0.25">
      <c r="A4" t="s">
        <v>289</v>
      </c>
      <c r="B4" t="str">
        <f t="shared" si="0"/>
        <v>Feb</v>
      </c>
      <c r="C4" t="s">
        <v>227</v>
      </c>
      <c r="D4" t="s">
        <v>2</v>
      </c>
      <c r="E4">
        <v>23026</v>
      </c>
      <c r="F4">
        <v>4144.68</v>
      </c>
      <c r="G4" s="9">
        <v>45715</v>
      </c>
    </row>
    <row r="5" spans="1:7" x14ac:dyDescent="0.25">
      <c r="A5" t="s">
        <v>289</v>
      </c>
      <c r="B5" t="str">
        <f t="shared" si="0"/>
        <v>Jan</v>
      </c>
      <c r="C5" t="s">
        <v>293</v>
      </c>
      <c r="D5" t="s">
        <v>2</v>
      </c>
      <c r="E5">
        <v>24153</v>
      </c>
      <c r="F5">
        <v>6762.84</v>
      </c>
      <c r="G5" s="9">
        <v>45662</v>
      </c>
    </row>
    <row r="6" spans="1:7" x14ac:dyDescent="0.25">
      <c r="A6" t="s">
        <v>289</v>
      </c>
      <c r="B6" t="str">
        <f t="shared" si="0"/>
        <v>Feb</v>
      </c>
      <c r="C6" t="s">
        <v>227</v>
      </c>
      <c r="D6" t="s">
        <v>0</v>
      </c>
      <c r="E6">
        <v>39752</v>
      </c>
      <c r="F6">
        <v>6757.84</v>
      </c>
      <c r="G6" s="9">
        <v>45690</v>
      </c>
    </row>
    <row r="7" spans="1:7" x14ac:dyDescent="0.25">
      <c r="A7" t="s">
        <v>291</v>
      </c>
      <c r="B7" t="str">
        <f t="shared" si="0"/>
        <v>Mar</v>
      </c>
      <c r="C7" t="s">
        <v>225</v>
      </c>
      <c r="D7" t="s">
        <v>2</v>
      </c>
      <c r="E7">
        <v>13702</v>
      </c>
      <c r="F7">
        <v>959.14</v>
      </c>
      <c r="G7" s="9">
        <v>45722</v>
      </c>
    </row>
    <row r="8" spans="1:7" x14ac:dyDescent="0.25">
      <c r="A8" t="s">
        <v>291</v>
      </c>
      <c r="B8" t="str">
        <f t="shared" si="0"/>
        <v>Feb</v>
      </c>
      <c r="C8" t="s">
        <v>290</v>
      </c>
      <c r="D8" t="s">
        <v>0</v>
      </c>
      <c r="E8">
        <v>16726</v>
      </c>
      <c r="F8">
        <v>836.3</v>
      </c>
      <c r="G8" s="9">
        <v>45708</v>
      </c>
    </row>
    <row r="9" spans="1:7" x14ac:dyDescent="0.25">
      <c r="A9" t="s">
        <v>288</v>
      </c>
      <c r="B9" t="str">
        <f t="shared" si="0"/>
        <v>Feb</v>
      </c>
      <c r="C9" t="s">
        <v>223</v>
      </c>
      <c r="D9" t="s">
        <v>2</v>
      </c>
      <c r="E9">
        <v>14606</v>
      </c>
      <c r="F9">
        <v>2921.2</v>
      </c>
      <c r="G9" s="9">
        <v>45706</v>
      </c>
    </row>
    <row r="10" spans="1:7" x14ac:dyDescent="0.25">
      <c r="A10" t="s">
        <v>292</v>
      </c>
      <c r="B10" t="str">
        <f t="shared" si="0"/>
        <v>Feb</v>
      </c>
      <c r="C10" t="s">
        <v>223</v>
      </c>
      <c r="D10" t="s">
        <v>1</v>
      </c>
      <c r="E10">
        <v>27750</v>
      </c>
      <c r="F10">
        <v>7215</v>
      </c>
      <c r="G10" s="9">
        <v>45707</v>
      </c>
    </row>
    <row r="11" spans="1:7" x14ac:dyDescent="0.25">
      <c r="A11" t="s">
        <v>288</v>
      </c>
      <c r="B11" t="str">
        <f t="shared" si="0"/>
        <v>Jan</v>
      </c>
      <c r="C11" t="s">
        <v>290</v>
      </c>
      <c r="D11" t="s">
        <v>1</v>
      </c>
      <c r="E11">
        <v>19238</v>
      </c>
      <c r="F11">
        <v>4232.3599999999997</v>
      </c>
      <c r="G11" s="9">
        <v>45664</v>
      </c>
    </row>
    <row r="12" spans="1:7" x14ac:dyDescent="0.25">
      <c r="A12" t="s">
        <v>291</v>
      </c>
      <c r="B12" t="str">
        <f t="shared" si="0"/>
        <v>Mar</v>
      </c>
      <c r="C12" t="s">
        <v>290</v>
      </c>
      <c r="D12" t="s">
        <v>2</v>
      </c>
      <c r="E12">
        <v>32426</v>
      </c>
      <c r="F12">
        <v>9403.5400000000009</v>
      </c>
      <c r="G12" s="9">
        <v>45739</v>
      </c>
    </row>
    <row r="13" spans="1:7" x14ac:dyDescent="0.25">
      <c r="A13" t="s">
        <v>291</v>
      </c>
      <c r="B13" t="str">
        <f t="shared" si="0"/>
        <v>Mar</v>
      </c>
      <c r="C13" t="s">
        <v>225</v>
      </c>
      <c r="D13" t="s">
        <v>2</v>
      </c>
      <c r="E13">
        <v>33943</v>
      </c>
      <c r="F13">
        <v>4412.59</v>
      </c>
      <c r="G13" s="9">
        <v>45718</v>
      </c>
    </row>
    <row r="14" spans="1:7" x14ac:dyDescent="0.25">
      <c r="A14" t="s">
        <v>292</v>
      </c>
      <c r="B14" t="str">
        <f t="shared" si="0"/>
        <v>Feb</v>
      </c>
      <c r="C14" t="s">
        <v>225</v>
      </c>
      <c r="D14" t="s">
        <v>1</v>
      </c>
      <c r="E14">
        <v>38693</v>
      </c>
      <c r="F14">
        <v>8899.39</v>
      </c>
      <c r="G14" s="9">
        <v>45705</v>
      </c>
    </row>
    <row r="15" spans="1:7" x14ac:dyDescent="0.25">
      <c r="A15" t="s">
        <v>291</v>
      </c>
      <c r="B15" t="str">
        <f t="shared" si="0"/>
        <v>Feb</v>
      </c>
      <c r="C15" t="s">
        <v>290</v>
      </c>
      <c r="D15" t="s">
        <v>1</v>
      </c>
      <c r="E15">
        <v>22964</v>
      </c>
      <c r="F15">
        <v>1607.48</v>
      </c>
      <c r="G15" s="9">
        <v>45705</v>
      </c>
    </row>
    <row r="16" spans="1:7" x14ac:dyDescent="0.25">
      <c r="A16" t="s">
        <v>291</v>
      </c>
      <c r="B16" t="str">
        <f t="shared" si="0"/>
        <v>Feb</v>
      </c>
      <c r="C16" t="s">
        <v>225</v>
      </c>
      <c r="D16" t="s">
        <v>2</v>
      </c>
      <c r="E16">
        <v>28527</v>
      </c>
      <c r="F16">
        <v>6846.48</v>
      </c>
      <c r="G16" s="9">
        <v>45701</v>
      </c>
    </row>
    <row r="17" spans="1:7" x14ac:dyDescent="0.25">
      <c r="A17" t="s">
        <v>289</v>
      </c>
      <c r="B17" t="str">
        <f t="shared" si="0"/>
        <v>Feb</v>
      </c>
      <c r="C17" t="s">
        <v>223</v>
      </c>
      <c r="D17" t="s">
        <v>2</v>
      </c>
      <c r="E17">
        <v>21575</v>
      </c>
      <c r="F17">
        <v>3020.5</v>
      </c>
      <c r="G17" s="9">
        <v>45705</v>
      </c>
    </row>
    <row r="18" spans="1:7" x14ac:dyDescent="0.25">
      <c r="A18" t="s">
        <v>289</v>
      </c>
      <c r="B18" t="str">
        <f t="shared" si="0"/>
        <v>Jan</v>
      </c>
      <c r="C18" t="s">
        <v>225</v>
      </c>
      <c r="D18" t="s">
        <v>1</v>
      </c>
      <c r="E18">
        <v>39387</v>
      </c>
      <c r="F18">
        <v>11422.23</v>
      </c>
      <c r="G18" s="9">
        <v>45677</v>
      </c>
    </row>
    <row r="19" spans="1:7" x14ac:dyDescent="0.25">
      <c r="A19" t="s">
        <v>292</v>
      </c>
      <c r="B19" t="str">
        <f t="shared" si="0"/>
        <v>Mar</v>
      </c>
      <c r="C19" t="s">
        <v>227</v>
      </c>
      <c r="D19" t="s">
        <v>0</v>
      </c>
      <c r="E19">
        <v>32806</v>
      </c>
      <c r="F19">
        <v>4264.78</v>
      </c>
      <c r="G19" s="9">
        <v>45726</v>
      </c>
    </row>
    <row r="20" spans="1:7" x14ac:dyDescent="0.25">
      <c r="A20" t="s">
        <v>288</v>
      </c>
      <c r="B20" t="str">
        <f t="shared" si="0"/>
        <v>Jan</v>
      </c>
      <c r="C20" t="s">
        <v>227</v>
      </c>
      <c r="D20" t="s">
        <v>2</v>
      </c>
      <c r="E20">
        <v>39047</v>
      </c>
      <c r="F20">
        <v>3514.23</v>
      </c>
      <c r="G20" s="9">
        <v>45688</v>
      </c>
    </row>
    <row r="21" spans="1:7" x14ac:dyDescent="0.25">
      <c r="A21" t="s">
        <v>289</v>
      </c>
      <c r="B21" t="str">
        <f t="shared" si="0"/>
        <v>Feb</v>
      </c>
      <c r="C21" t="s">
        <v>223</v>
      </c>
      <c r="D21" t="s">
        <v>0</v>
      </c>
      <c r="E21">
        <v>27577</v>
      </c>
      <c r="F21">
        <v>1930.39</v>
      </c>
      <c r="G21" s="9">
        <v>45700</v>
      </c>
    </row>
    <row r="22" spans="1:7" x14ac:dyDescent="0.25">
      <c r="A22" t="s">
        <v>291</v>
      </c>
      <c r="B22" t="str">
        <f t="shared" si="0"/>
        <v>Mar</v>
      </c>
      <c r="C22" t="s">
        <v>293</v>
      </c>
      <c r="D22" t="s">
        <v>1</v>
      </c>
      <c r="E22">
        <v>32575</v>
      </c>
      <c r="F22">
        <v>1628.75</v>
      </c>
      <c r="G22" s="9">
        <v>45721</v>
      </c>
    </row>
    <row r="23" spans="1:7" x14ac:dyDescent="0.25">
      <c r="A23" t="s">
        <v>292</v>
      </c>
      <c r="B23" t="str">
        <f t="shared" si="0"/>
        <v>Jan</v>
      </c>
      <c r="C23" t="s">
        <v>290</v>
      </c>
      <c r="D23" t="s">
        <v>2</v>
      </c>
      <c r="E23">
        <v>10380</v>
      </c>
      <c r="F23">
        <v>622.79999999999995</v>
      </c>
      <c r="G23" s="9">
        <v>45669</v>
      </c>
    </row>
    <row r="24" spans="1:7" x14ac:dyDescent="0.25">
      <c r="A24" t="s">
        <v>292</v>
      </c>
      <c r="B24" t="str">
        <f t="shared" si="0"/>
        <v>Mar</v>
      </c>
      <c r="C24" t="s">
        <v>227</v>
      </c>
      <c r="D24" t="s">
        <v>1</v>
      </c>
      <c r="E24">
        <v>13009</v>
      </c>
      <c r="F24">
        <v>2601.8000000000002</v>
      </c>
      <c r="G24" s="9">
        <v>45731</v>
      </c>
    </row>
    <row r="25" spans="1:7" x14ac:dyDescent="0.25">
      <c r="A25" t="s">
        <v>289</v>
      </c>
      <c r="B25" t="str">
        <f t="shared" si="0"/>
        <v>Jan</v>
      </c>
      <c r="C25" t="s">
        <v>223</v>
      </c>
      <c r="D25" t="s">
        <v>1</v>
      </c>
      <c r="E25">
        <v>10529</v>
      </c>
      <c r="F25">
        <v>842.32</v>
      </c>
      <c r="G25" s="9">
        <v>45674</v>
      </c>
    </row>
    <row r="26" spans="1:7" x14ac:dyDescent="0.25">
      <c r="A26" t="s">
        <v>288</v>
      </c>
      <c r="B26" t="str">
        <f t="shared" si="0"/>
        <v>Feb</v>
      </c>
      <c r="C26" t="s">
        <v>290</v>
      </c>
      <c r="D26" t="s">
        <v>1</v>
      </c>
      <c r="E26">
        <v>14635</v>
      </c>
      <c r="F26">
        <v>3512.4</v>
      </c>
      <c r="G26" s="9">
        <v>45692</v>
      </c>
    </row>
    <row r="27" spans="1:7" x14ac:dyDescent="0.25">
      <c r="A27" t="s">
        <v>289</v>
      </c>
      <c r="B27" t="str">
        <f t="shared" si="0"/>
        <v>Jan</v>
      </c>
      <c r="C27" t="s">
        <v>223</v>
      </c>
      <c r="D27" t="s">
        <v>0</v>
      </c>
      <c r="E27">
        <v>30972</v>
      </c>
      <c r="F27">
        <v>7743</v>
      </c>
      <c r="G27" s="9">
        <v>45682</v>
      </c>
    </row>
    <row r="28" spans="1:7" x14ac:dyDescent="0.25">
      <c r="A28" t="s">
        <v>288</v>
      </c>
      <c r="B28" t="str">
        <f t="shared" si="0"/>
        <v>Mar</v>
      </c>
      <c r="C28" t="s">
        <v>293</v>
      </c>
      <c r="D28" t="s">
        <v>1</v>
      </c>
      <c r="E28">
        <v>38386</v>
      </c>
      <c r="F28">
        <v>2687.02</v>
      </c>
      <c r="G28" s="9">
        <v>45721</v>
      </c>
    </row>
    <row r="29" spans="1:7" x14ac:dyDescent="0.25">
      <c r="A29" t="s">
        <v>289</v>
      </c>
      <c r="B29" t="str">
        <f t="shared" si="0"/>
        <v>Feb</v>
      </c>
      <c r="C29" t="s">
        <v>293</v>
      </c>
      <c r="D29" t="s">
        <v>1</v>
      </c>
      <c r="E29">
        <v>27281</v>
      </c>
      <c r="F29">
        <v>5456.2</v>
      </c>
      <c r="G29" s="9">
        <v>45707</v>
      </c>
    </row>
    <row r="30" spans="1:7" x14ac:dyDescent="0.25">
      <c r="A30" t="s">
        <v>289</v>
      </c>
      <c r="B30" t="str">
        <f t="shared" si="0"/>
        <v>Jan</v>
      </c>
      <c r="C30" t="s">
        <v>225</v>
      </c>
      <c r="D30" t="s">
        <v>1</v>
      </c>
      <c r="E30">
        <v>29384</v>
      </c>
      <c r="F30">
        <v>1763.04</v>
      </c>
      <c r="G30" s="9">
        <v>45673</v>
      </c>
    </row>
    <row r="31" spans="1:7" x14ac:dyDescent="0.25">
      <c r="A31" t="s">
        <v>292</v>
      </c>
      <c r="B31" t="str">
        <f t="shared" si="0"/>
        <v>Mar</v>
      </c>
      <c r="C31" t="s">
        <v>293</v>
      </c>
      <c r="D31" t="s">
        <v>0</v>
      </c>
      <c r="E31">
        <v>18080</v>
      </c>
      <c r="F31">
        <v>1988.8</v>
      </c>
      <c r="G31" s="9">
        <v>45746</v>
      </c>
    </row>
    <row r="32" spans="1:7" x14ac:dyDescent="0.25">
      <c r="A32" t="s">
        <v>289</v>
      </c>
      <c r="B32" t="str">
        <f t="shared" si="0"/>
        <v>Jan</v>
      </c>
      <c r="C32" t="s">
        <v>290</v>
      </c>
      <c r="D32" t="s">
        <v>2</v>
      </c>
      <c r="E32">
        <v>35593</v>
      </c>
      <c r="F32">
        <v>6762.67</v>
      </c>
      <c r="G32" s="9">
        <v>45660</v>
      </c>
    </row>
    <row r="33" spans="1:7" x14ac:dyDescent="0.25">
      <c r="A33" t="s">
        <v>288</v>
      </c>
      <c r="B33" t="str">
        <f t="shared" si="0"/>
        <v>Jan</v>
      </c>
      <c r="C33" t="s">
        <v>227</v>
      </c>
      <c r="D33" t="s">
        <v>0</v>
      </c>
      <c r="E33">
        <v>33258</v>
      </c>
      <c r="F33">
        <v>2993.22</v>
      </c>
      <c r="G33" s="9">
        <v>45678</v>
      </c>
    </row>
    <row r="34" spans="1:7" x14ac:dyDescent="0.25">
      <c r="A34" t="s">
        <v>292</v>
      </c>
      <c r="B34" t="str">
        <f t="shared" si="0"/>
        <v>Jan</v>
      </c>
      <c r="C34" t="s">
        <v>227</v>
      </c>
      <c r="D34" t="s">
        <v>1</v>
      </c>
      <c r="E34">
        <v>38992</v>
      </c>
      <c r="F34">
        <v>4679.04</v>
      </c>
      <c r="G34" s="9">
        <v>45658</v>
      </c>
    </row>
    <row r="35" spans="1:7" x14ac:dyDescent="0.25">
      <c r="A35" t="s">
        <v>288</v>
      </c>
      <c r="B35" t="str">
        <f t="shared" si="0"/>
        <v>Jan</v>
      </c>
      <c r="C35" t="s">
        <v>227</v>
      </c>
      <c r="D35" t="s">
        <v>2</v>
      </c>
      <c r="E35">
        <v>13547</v>
      </c>
      <c r="F35">
        <v>1490.17</v>
      </c>
      <c r="G35" s="9">
        <v>45677</v>
      </c>
    </row>
    <row r="36" spans="1:7" x14ac:dyDescent="0.25">
      <c r="A36" t="s">
        <v>292</v>
      </c>
      <c r="B36" t="str">
        <f t="shared" si="0"/>
        <v>Jan</v>
      </c>
      <c r="C36" t="s">
        <v>225</v>
      </c>
      <c r="D36" t="s">
        <v>1</v>
      </c>
      <c r="E36">
        <v>36092</v>
      </c>
      <c r="F36">
        <v>6857.48</v>
      </c>
      <c r="G36" s="9">
        <v>45673</v>
      </c>
    </row>
    <row r="37" spans="1:7" x14ac:dyDescent="0.25">
      <c r="A37" t="s">
        <v>291</v>
      </c>
      <c r="B37" t="str">
        <f t="shared" si="0"/>
        <v>Jan</v>
      </c>
      <c r="C37" t="s">
        <v>225</v>
      </c>
      <c r="D37" t="s">
        <v>2</v>
      </c>
      <c r="E37">
        <v>31964</v>
      </c>
      <c r="F37">
        <v>4155.32</v>
      </c>
      <c r="G37" s="9">
        <v>45665</v>
      </c>
    </row>
    <row r="38" spans="1:7" x14ac:dyDescent="0.25">
      <c r="A38" t="s">
        <v>288</v>
      </c>
      <c r="B38" t="str">
        <f t="shared" si="0"/>
        <v>Jan</v>
      </c>
      <c r="C38" t="s">
        <v>293</v>
      </c>
      <c r="D38" t="s">
        <v>0</v>
      </c>
      <c r="E38">
        <v>23710</v>
      </c>
      <c r="F38">
        <v>6164.6</v>
      </c>
      <c r="G38" s="9">
        <v>45684</v>
      </c>
    </row>
    <row r="39" spans="1:7" x14ac:dyDescent="0.25">
      <c r="A39" t="s">
        <v>289</v>
      </c>
      <c r="B39" t="str">
        <f t="shared" si="0"/>
        <v>Jan</v>
      </c>
      <c r="C39" t="s">
        <v>227</v>
      </c>
      <c r="D39" t="s">
        <v>0</v>
      </c>
      <c r="E39">
        <v>32093</v>
      </c>
      <c r="F39">
        <v>3530.23</v>
      </c>
      <c r="G39" s="9">
        <v>45666</v>
      </c>
    </row>
    <row r="40" spans="1:7" x14ac:dyDescent="0.25">
      <c r="A40" t="s">
        <v>292</v>
      </c>
      <c r="B40" t="str">
        <f t="shared" si="0"/>
        <v>Jan</v>
      </c>
      <c r="C40" t="s">
        <v>290</v>
      </c>
      <c r="D40" t="s">
        <v>2</v>
      </c>
      <c r="E40">
        <v>28973</v>
      </c>
      <c r="F40">
        <v>6663.79</v>
      </c>
      <c r="G40" s="9">
        <v>45665</v>
      </c>
    </row>
    <row r="41" spans="1:7" x14ac:dyDescent="0.25">
      <c r="A41" t="s">
        <v>289</v>
      </c>
      <c r="B41" t="str">
        <f t="shared" si="0"/>
        <v>Feb</v>
      </c>
      <c r="C41" t="s">
        <v>227</v>
      </c>
      <c r="D41" t="s">
        <v>0</v>
      </c>
      <c r="E41">
        <v>36163</v>
      </c>
      <c r="F41">
        <v>1808.15</v>
      </c>
      <c r="G41" s="9">
        <v>45704</v>
      </c>
    </row>
    <row r="42" spans="1:7" x14ac:dyDescent="0.25">
      <c r="A42" t="s">
        <v>289</v>
      </c>
      <c r="B42" t="str">
        <f t="shared" si="0"/>
        <v>Mar</v>
      </c>
      <c r="C42" t="s">
        <v>225</v>
      </c>
      <c r="D42" t="s">
        <v>2</v>
      </c>
      <c r="E42">
        <v>37193</v>
      </c>
      <c r="F42">
        <v>8554.39</v>
      </c>
      <c r="G42" s="9">
        <v>45727</v>
      </c>
    </row>
    <row r="43" spans="1:7" x14ac:dyDescent="0.25">
      <c r="A43" t="s">
        <v>291</v>
      </c>
      <c r="B43" t="str">
        <f t="shared" si="0"/>
        <v>Mar</v>
      </c>
      <c r="C43" t="s">
        <v>290</v>
      </c>
      <c r="D43" t="s">
        <v>0</v>
      </c>
      <c r="E43">
        <v>14328</v>
      </c>
      <c r="F43">
        <v>2865.6</v>
      </c>
      <c r="G43" s="9">
        <v>45735</v>
      </c>
    </row>
    <row r="44" spans="1:7" x14ac:dyDescent="0.25">
      <c r="A44" t="s">
        <v>292</v>
      </c>
      <c r="B44" t="str">
        <f t="shared" si="0"/>
        <v>Mar</v>
      </c>
      <c r="C44" t="s">
        <v>227</v>
      </c>
      <c r="D44" t="s">
        <v>0</v>
      </c>
      <c r="E44">
        <v>21329</v>
      </c>
      <c r="F44">
        <v>3199.35</v>
      </c>
      <c r="G44" s="9">
        <v>45720</v>
      </c>
    </row>
    <row r="45" spans="1:7" x14ac:dyDescent="0.25">
      <c r="A45" t="s">
        <v>289</v>
      </c>
      <c r="B45" t="str">
        <f t="shared" si="0"/>
        <v>Jan</v>
      </c>
      <c r="C45" t="s">
        <v>227</v>
      </c>
      <c r="D45" t="s">
        <v>2</v>
      </c>
      <c r="E45">
        <v>33285</v>
      </c>
      <c r="F45">
        <v>9652.65</v>
      </c>
      <c r="G45" s="9">
        <v>45682</v>
      </c>
    </row>
    <row r="46" spans="1:7" x14ac:dyDescent="0.25">
      <c r="A46" t="s">
        <v>291</v>
      </c>
      <c r="B46" t="str">
        <f t="shared" si="0"/>
        <v>Jan</v>
      </c>
      <c r="C46" t="s">
        <v>227</v>
      </c>
      <c r="D46" t="s">
        <v>1</v>
      </c>
      <c r="E46">
        <v>22592</v>
      </c>
      <c r="F46">
        <v>5648</v>
      </c>
      <c r="G46" s="9">
        <v>45685</v>
      </c>
    </row>
    <row r="47" spans="1:7" x14ac:dyDescent="0.25">
      <c r="A47" t="s">
        <v>292</v>
      </c>
      <c r="B47" t="str">
        <f t="shared" si="0"/>
        <v>Mar</v>
      </c>
      <c r="C47" t="s">
        <v>223</v>
      </c>
      <c r="D47" t="s">
        <v>0</v>
      </c>
      <c r="E47">
        <v>11690</v>
      </c>
      <c r="F47">
        <v>3273.2</v>
      </c>
      <c r="G47" s="9">
        <v>45735</v>
      </c>
    </row>
    <row r="48" spans="1:7" x14ac:dyDescent="0.25">
      <c r="A48" t="s">
        <v>292</v>
      </c>
      <c r="B48" t="str">
        <f t="shared" si="0"/>
        <v>Mar</v>
      </c>
      <c r="C48" t="s">
        <v>293</v>
      </c>
      <c r="D48" t="s">
        <v>2</v>
      </c>
      <c r="E48">
        <v>18783</v>
      </c>
      <c r="F48">
        <v>4132.26</v>
      </c>
      <c r="G48" s="9">
        <v>45743</v>
      </c>
    </row>
    <row r="49" spans="1:7" x14ac:dyDescent="0.25">
      <c r="A49" t="s">
        <v>288</v>
      </c>
      <c r="B49" t="str">
        <f t="shared" si="0"/>
        <v>Feb</v>
      </c>
      <c r="C49" t="s">
        <v>223</v>
      </c>
      <c r="D49" t="s">
        <v>0</v>
      </c>
      <c r="E49">
        <v>37849</v>
      </c>
      <c r="F49">
        <v>2270.94</v>
      </c>
      <c r="G49" s="9">
        <v>45690</v>
      </c>
    </row>
    <row r="50" spans="1:7" x14ac:dyDescent="0.25">
      <c r="A50" t="s">
        <v>288</v>
      </c>
      <c r="B50" t="str">
        <f t="shared" si="0"/>
        <v>Feb</v>
      </c>
      <c r="C50" t="s">
        <v>225</v>
      </c>
      <c r="D50" t="s">
        <v>2</v>
      </c>
      <c r="E50">
        <v>37548</v>
      </c>
      <c r="F50">
        <v>11264.4</v>
      </c>
      <c r="G50" s="9">
        <v>45700</v>
      </c>
    </row>
    <row r="51" spans="1:7" x14ac:dyDescent="0.25">
      <c r="A51" t="s">
        <v>291</v>
      </c>
      <c r="B51" t="str">
        <f t="shared" si="0"/>
        <v>Mar</v>
      </c>
      <c r="C51" t="s">
        <v>223</v>
      </c>
      <c r="D51" t="s">
        <v>1</v>
      </c>
      <c r="E51">
        <v>28520</v>
      </c>
      <c r="F51">
        <v>5989.2</v>
      </c>
      <c r="G51" s="9">
        <v>45726</v>
      </c>
    </row>
    <row r="52" spans="1:7" x14ac:dyDescent="0.25">
      <c r="A52" t="s">
        <v>288</v>
      </c>
      <c r="B52" t="str">
        <f t="shared" si="0"/>
        <v>Feb</v>
      </c>
      <c r="C52" t="s">
        <v>223</v>
      </c>
      <c r="D52" t="s">
        <v>2</v>
      </c>
      <c r="E52">
        <v>31125</v>
      </c>
      <c r="F52">
        <v>3735</v>
      </c>
      <c r="G52" s="9">
        <v>45712</v>
      </c>
    </row>
    <row r="53" spans="1:7" x14ac:dyDescent="0.25">
      <c r="A53" t="s">
        <v>292</v>
      </c>
      <c r="B53" t="str">
        <f t="shared" si="0"/>
        <v>Feb</v>
      </c>
      <c r="C53" t="s">
        <v>223</v>
      </c>
      <c r="D53" t="s">
        <v>2</v>
      </c>
      <c r="E53">
        <v>33232</v>
      </c>
      <c r="F53">
        <v>4320.16</v>
      </c>
      <c r="G53" s="9">
        <v>45707</v>
      </c>
    </row>
    <row r="54" spans="1:7" x14ac:dyDescent="0.25">
      <c r="A54" t="s">
        <v>289</v>
      </c>
      <c r="B54" t="str">
        <f t="shared" si="0"/>
        <v>Jan</v>
      </c>
      <c r="C54" t="s">
        <v>293</v>
      </c>
      <c r="D54" t="s">
        <v>2</v>
      </c>
      <c r="E54">
        <v>13155</v>
      </c>
      <c r="F54">
        <v>789.3</v>
      </c>
      <c r="G54" s="9">
        <v>45680</v>
      </c>
    </row>
    <row r="55" spans="1:7" x14ac:dyDescent="0.25">
      <c r="A55" t="s">
        <v>292</v>
      </c>
      <c r="B55" t="str">
        <f t="shared" si="0"/>
        <v>Feb</v>
      </c>
      <c r="C55" t="s">
        <v>293</v>
      </c>
      <c r="D55" t="s">
        <v>0</v>
      </c>
      <c r="E55">
        <v>13055</v>
      </c>
      <c r="F55">
        <v>3002.65</v>
      </c>
      <c r="G55" s="9">
        <v>45705</v>
      </c>
    </row>
    <row r="56" spans="1:7" x14ac:dyDescent="0.25">
      <c r="A56" t="s">
        <v>291</v>
      </c>
      <c r="B56" t="str">
        <f t="shared" si="0"/>
        <v>Feb</v>
      </c>
      <c r="C56" t="s">
        <v>223</v>
      </c>
      <c r="D56" t="s">
        <v>0</v>
      </c>
      <c r="E56">
        <v>19099</v>
      </c>
      <c r="F56">
        <v>954.95</v>
      </c>
      <c r="G56" s="9">
        <v>45691</v>
      </c>
    </row>
    <row r="57" spans="1:7" x14ac:dyDescent="0.25">
      <c r="A57" t="s">
        <v>291</v>
      </c>
      <c r="B57" t="str">
        <f t="shared" si="0"/>
        <v>Mar</v>
      </c>
      <c r="C57" t="s">
        <v>223</v>
      </c>
      <c r="D57" t="s">
        <v>2</v>
      </c>
      <c r="E57">
        <v>25000</v>
      </c>
      <c r="F57">
        <v>1750</v>
      </c>
      <c r="G57" s="9">
        <v>45735</v>
      </c>
    </row>
    <row r="58" spans="1:7" x14ac:dyDescent="0.25">
      <c r="A58" t="s">
        <v>292</v>
      </c>
      <c r="B58" t="str">
        <f t="shared" si="0"/>
        <v>Mar</v>
      </c>
      <c r="C58" t="s">
        <v>227</v>
      </c>
      <c r="D58" t="s">
        <v>1</v>
      </c>
      <c r="E58">
        <v>26388</v>
      </c>
      <c r="F58">
        <v>2111.04</v>
      </c>
      <c r="G58" s="9">
        <v>45741</v>
      </c>
    </row>
    <row r="59" spans="1:7" x14ac:dyDescent="0.25">
      <c r="A59" t="s">
        <v>291</v>
      </c>
      <c r="B59" t="str">
        <f t="shared" si="0"/>
        <v>Mar</v>
      </c>
      <c r="C59" t="s">
        <v>293</v>
      </c>
      <c r="D59" t="s">
        <v>0</v>
      </c>
      <c r="E59">
        <v>24126</v>
      </c>
      <c r="F59">
        <v>3618.9</v>
      </c>
      <c r="G59" s="9">
        <v>45723</v>
      </c>
    </row>
    <row r="60" spans="1:7" x14ac:dyDescent="0.25">
      <c r="A60" t="s">
        <v>292</v>
      </c>
      <c r="B60" t="str">
        <f t="shared" si="0"/>
        <v>Jan</v>
      </c>
      <c r="C60" t="s">
        <v>290</v>
      </c>
      <c r="D60" t="s">
        <v>0</v>
      </c>
      <c r="E60">
        <v>32605</v>
      </c>
      <c r="F60">
        <v>9781.5</v>
      </c>
      <c r="G60" s="9">
        <v>45681</v>
      </c>
    </row>
    <row r="61" spans="1:7" x14ac:dyDescent="0.25">
      <c r="A61" t="s">
        <v>291</v>
      </c>
      <c r="B61" t="str">
        <f t="shared" si="0"/>
        <v>Feb</v>
      </c>
      <c r="C61" t="s">
        <v>227</v>
      </c>
      <c r="D61" t="s">
        <v>1</v>
      </c>
      <c r="E61">
        <v>35157</v>
      </c>
      <c r="F61">
        <v>5625.12</v>
      </c>
      <c r="G61" s="9">
        <v>45701</v>
      </c>
    </row>
    <row r="62" spans="1:7" x14ac:dyDescent="0.25">
      <c r="A62" t="s">
        <v>289</v>
      </c>
      <c r="B62" t="str">
        <f t="shared" si="0"/>
        <v>Mar</v>
      </c>
      <c r="C62" t="s">
        <v>290</v>
      </c>
      <c r="D62" t="s">
        <v>2</v>
      </c>
      <c r="E62">
        <v>26938</v>
      </c>
      <c r="F62">
        <v>4310.08</v>
      </c>
      <c r="G62" s="9">
        <v>45729</v>
      </c>
    </row>
    <row r="63" spans="1:7" x14ac:dyDescent="0.25">
      <c r="A63" t="s">
        <v>289</v>
      </c>
      <c r="B63" t="str">
        <f t="shared" si="0"/>
        <v>Feb</v>
      </c>
      <c r="C63" t="s">
        <v>227</v>
      </c>
      <c r="D63" t="s">
        <v>2</v>
      </c>
      <c r="E63">
        <v>23140</v>
      </c>
      <c r="F63">
        <v>3239.6</v>
      </c>
      <c r="G63" s="9">
        <v>45712</v>
      </c>
    </row>
    <row r="64" spans="1:7" x14ac:dyDescent="0.25">
      <c r="A64" t="s">
        <v>291</v>
      </c>
      <c r="B64" t="str">
        <f t="shared" si="0"/>
        <v>Mar</v>
      </c>
      <c r="C64" t="s">
        <v>293</v>
      </c>
      <c r="D64" t="s">
        <v>0</v>
      </c>
      <c r="E64">
        <v>39711</v>
      </c>
      <c r="F64">
        <v>6353.76</v>
      </c>
      <c r="G64" s="9">
        <v>45741</v>
      </c>
    </row>
    <row r="65" spans="1:7" x14ac:dyDescent="0.25">
      <c r="A65" t="s">
        <v>291</v>
      </c>
      <c r="B65" t="str">
        <f t="shared" si="0"/>
        <v>Jan</v>
      </c>
      <c r="C65" t="s">
        <v>227</v>
      </c>
      <c r="D65" t="s">
        <v>2</v>
      </c>
      <c r="E65">
        <v>22840</v>
      </c>
      <c r="F65">
        <v>5481.6</v>
      </c>
      <c r="G65" s="9">
        <v>45671</v>
      </c>
    </row>
    <row r="66" spans="1:7" x14ac:dyDescent="0.25">
      <c r="A66" t="s">
        <v>288</v>
      </c>
      <c r="B66" t="str">
        <f t="shared" si="0"/>
        <v>Feb</v>
      </c>
      <c r="C66" t="s">
        <v>223</v>
      </c>
      <c r="D66" t="s">
        <v>0</v>
      </c>
      <c r="E66">
        <v>24033</v>
      </c>
      <c r="F66">
        <v>6488.91</v>
      </c>
      <c r="G66" s="9">
        <v>45696</v>
      </c>
    </row>
    <row r="67" spans="1:7" x14ac:dyDescent="0.25">
      <c r="A67" t="s">
        <v>292</v>
      </c>
      <c r="B67" t="str">
        <f t="shared" ref="B67:B101" si="1">TEXT(G67,"MMM")</f>
        <v>Jan</v>
      </c>
      <c r="C67" t="s">
        <v>290</v>
      </c>
      <c r="D67" t="s">
        <v>2</v>
      </c>
      <c r="E67">
        <v>19320</v>
      </c>
      <c r="F67">
        <v>2704.8</v>
      </c>
      <c r="G67" s="9">
        <v>45679</v>
      </c>
    </row>
    <row r="68" spans="1:7" x14ac:dyDescent="0.25">
      <c r="A68" t="s">
        <v>289</v>
      </c>
      <c r="B68" t="str">
        <f t="shared" si="1"/>
        <v>Feb</v>
      </c>
      <c r="C68" t="s">
        <v>225</v>
      </c>
      <c r="D68" t="s">
        <v>0</v>
      </c>
      <c r="E68">
        <v>25551</v>
      </c>
      <c r="F68">
        <v>1788.57</v>
      </c>
      <c r="G68" s="9">
        <v>45694</v>
      </c>
    </row>
    <row r="69" spans="1:7" x14ac:dyDescent="0.25">
      <c r="A69" t="s">
        <v>288</v>
      </c>
      <c r="B69" t="str">
        <f t="shared" si="1"/>
        <v>Mar</v>
      </c>
      <c r="C69" t="s">
        <v>223</v>
      </c>
      <c r="D69" t="s">
        <v>1</v>
      </c>
      <c r="E69">
        <v>38869</v>
      </c>
      <c r="F69">
        <v>10883.32</v>
      </c>
      <c r="G69" s="9">
        <v>45736</v>
      </c>
    </row>
    <row r="70" spans="1:7" x14ac:dyDescent="0.25">
      <c r="A70" t="s">
        <v>292</v>
      </c>
      <c r="B70" t="str">
        <f t="shared" si="1"/>
        <v>Jan</v>
      </c>
      <c r="C70" t="s">
        <v>227</v>
      </c>
      <c r="D70" t="s">
        <v>1</v>
      </c>
      <c r="E70">
        <v>14854</v>
      </c>
      <c r="F70">
        <v>3564.96</v>
      </c>
      <c r="G70" s="9">
        <v>45681</v>
      </c>
    </row>
    <row r="71" spans="1:7" x14ac:dyDescent="0.25">
      <c r="A71" t="s">
        <v>289</v>
      </c>
      <c r="B71" t="str">
        <f t="shared" si="1"/>
        <v>Jan</v>
      </c>
      <c r="C71" t="s">
        <v>223</v>
      </c>
      <c r="D71" t="s">
        <v>1</v>
      </c>
      <c r="E71">
        <v>36652</v>
      </c>
      <c r="F71">
        <v>2932.16</v>
      </c>
      <c r="G71" s="9">
        <v>45674</v>
      </c>
    </row>
    <row r="72" spans="1:7" x14ac:dyDescent="0.25">
      <c r="A72" t="s">
        <v>292</v>
      </c>
      <c r="B72" t="str">
        <f t="shared" si="1"/>
        <v>Mar</v>
      </c>
      <c r="C72" t="s">
        <v>225</v>
      </c>
      <c r="D72" t="s">
        <v>1</v>
      </c>
      <c r="E72">
        <v>24629</v>
      </c>
      <c r="F72">
        <v>5172.09</v>
      </c>
      <c r="G72" s="9">
        <v>45727</v>
      </c>
    </row>
    <row r="73" spans="1:7" x14ac:dyDescent="0.25">
      <c r="A73" t="s">
        <v>291</v>
      </c>
      <c r="B73" t="str">
        <f t="shared" si="1"/>
        <v>Feb</v>
      </c>
      <c r="C73" t="s">
        <v>227</v>
      </c>
      <c r="D73" t="s">
        <v>0</v>
      </c>
      <c r="E73">
        <v>13625</v>
      </c>
      <c r="F73">
        <v>3951.25</v>
      </c>
      <c r="G73" s="9">
        <v>45699</v>
      </c>
    </row>
    <row r="74" spans="1:7" x14ac:dyDescent="0.25">
      <c r="A74" t="s">
        <v>288</v>
      </c>
      <c r="B74" t="str">
        <f t="shared" si="1"/>
        <v>Mar</v>
      </c>
      <c r="C74" t="s">
        <v>290</v>
      </c>
      <c r="D74" t="s">
        <v>1</v>
      </c>
      <c r="E74">
        <v>22739</v>
      </c>
      <c r="F74">
        <v>3410.85</v>
      </c>
      <c r="G74" s="9">
        <v>45719</v>
      </c>
    </row>
    <row r="75" spans="1:7" x14ac:dyDescent="0.25">
      <c r="A75" t="s">
        <v>292</v>
      </c>
      <c r="B75" t="str">
        <f t="shared" si="1"/>
        <v>Mar</v>
      </c>
      <c r="C75" t="s">
        <v>293</v>
      </c>
      <c r="D75" t="s">
        <v>2</v>
      </c>
      <c r="E75">
        <v>11493</v>
      </c>
      <c r="F75">
        <v>2758.32</v>
      </c>
      <c r="G75" s="9">
        <v>45744</v>
      </c>
    </row>
    <row r="76" spans="1:7" x14ac:dyDescent="0.25">
      <c r="A76" t="s">
        <v>291</v>
      </c>
      <c r="B76" t="str">
        <f t="shared" si="1"/>
        <v>Jan</v>
      </c>
      <c r="C76" t="s">
        <v>223</v>
      </c>
      <c r="D76" t="s">
        <v>1</v>
      </c>
      <c r="E76">
        <v>24712</v>
      </c>
      <c r="F76">
        <v>2965.44</v>
      </c>
      <c r="G76" s="9">
        <v>45680</v>
      </c>
    </row>
    <row r="77" spans="1:7" x14ac:dyDescent="0.25">
      <c r="A77" t="s">
        <v>288</v>
      </c>
      <c r="B77" t="str">
        <f t="shared" si="1"/>
        <v>Jan</v>
      </c>
      <c r="C77" t="s">
        <v>293</v>
      </c>
      <c r="D77" t="s">
        <v>2</v>
      </c>
      <c r="E77">
        <v>28703</v>
      </c>
      <c r="F77">
        <v>5166.54</v>
      </c>
      <c r="G77" s="9">
        <v>45680</v>
      </c>
    </row>
    <row r="78" spans="1:7" x14ac:dyDescent="0.25">
      <c r="A78" t="s">
        <v>292</v>
      </c>
      <c r="B78" t="str">
        <f t="shared" si="1"/>
        <v>Mar</v>
      </c>
      <c r="C78" t="s">
        <v>223</v>
      </c>
      <c r="D78" t="s">
        <v>2</v>
      </c>
      <c r="E78">
        <v>13629</v>
      </c>
      <c r="F78">
        <v>3952.41</v>
      </c>
      <c r="G78" s="9">
        <v>45741</v>
      </c>
    </row>
    <row r="79" spans="1:7" x14ac:dyDescent="0.25">
      <c r="A79" t="s">
        <v>291</v>
      </c>
      <c r="B79" t="str">
        <f t="shared" si="1"/>
        <v>Jan</v>
      </c>
      <c r="C79" t="s">
        <v>227</v>
      </c>
      <c r="D79" t="s">
        <v>2</v>
      </c>
      <c r="E79">
        <v>11055</v>
      </c>
      <c r="F79">
        <v>2321.5500000000002</v>
      </c>
      <c r="G79" s="9">
        <v>45665</v>
      </c>
    </row>
    <row r="80" spans="1:7" x14ac:dyDescent="0.25">
      <c r="A80" t="s">
        <v>288</v>
      </c>
      <c r="B80" t="str">
        <f t="shared" si="1"/>
        <v>Mar</v>
      </c>
      <c r="C80" t="s">
        <v>223</v>
      </c>
      <c r="D80" t="s">
        <v>0</v>
      </c>
      <c r="E80">
        <v>25933</v>
      </c>
      <c r="F80">
        <v>3889.95</v>
      </c>
      <c r="G80" s="9">
        <v>45742</v>
      </c>
    </row>
    <row r="81" spans="1:7" x14ac:dyDescent="0.25">
      <c r="A81" t="s">
        <v>291</v>
      </c>
      <c r="B81" t="str">
        <f t="shared" si="1"/>
        <v>Feb</v>
      </c>
      <c r="C81" t="s">
        <v>225</v>
      </c>
      <c r="D81" t="s">
        <v>0</v>
      </c>
      <c r="E81">
        <v>16795</v>
      </c>
      <c r="F81">
        <v>2519.25</v>
      </c>
      <c r="G81" s="9">
        <v>45694</v>
      </c>
    </row>
    <row r="82" spans="1:7" x14ac:dyDescent="0.25">
      <c r="A82" t="s">
        <v>288</v>
      </c>
      <c r="B82" t="str">
        <f t="shared" si="1"/>
        <v>Feb</v>
      </c>
      <c r="C82" t="s">
        <v>225</v>
      </c>
      <c r="D82" t="s">
        <v>0</v>
      </c>
      <c r="E82">
        <v>30424</v>
      </c>
      <c r="F82">
        <v>1825.44</v>
      </c>
      <c r="G82" s="9">
        <v>45706</v>
      </c>
    </row>
    <row r="83" spans="1:7" x14ac:dyDescent="0.25">
      <c r="A83" t="s">
        <v>291</v>
      </c>
      <c r="B83" t="str">
        <f t="shared" si="1"/>
        <v>Feb</v>
      </c>
      <c r="C83" t="s">
        <v>223</v>
      </c>
      <c r="D83" t="s">
        <v>1</v>
      </c>
      <c r="E83">
        <v>15588</v>
      </c>
      <c r="F83">
        <v>3273.48</v>
      </c>
      <c r="G83" s="9">
        <v>45713</v>
      </c>
    </row>
    <row r="84" spans="1:7" x14ac:dyDescent="0.25">
      <c r="A84" t="s">
        <v>288</v>
      </c>
      <c r="B84" t="str">
        <f t="shared" si="1"/>
        <v>Mar</v>
      </c>
      <c r="C84" t="s">
        <v>293</v>
      </c>
      <c r="D84" t="s">
        <v>0</v>
      </c>
      <c r="E84">
        <v>20278</v>
      </c>
      <c r="F84">
        <v>4866.72</v>
      </c>
      <c r="G84" s="9">
        <v>45741</v>
      </c>
    </row>
    <row r="85" spans="1:7" x14ac:dyDescent="0.25">
      <c r="A85" t="s">
        <v>288</v>
      </c>
      <c r="B85" t="str">
        <f t="shared" si="1"/>
        <v>Jan</v>
      </c>
      <c r="C85" t="s">
        <v>223</v>
      </c>
      <c r="D85" t="s">
        <v>2</v>
      </c>
      <c r="E85">
        <v>29389</v>
      </c>
      <c r="F85">
        <v>8228.92</v>
      </c>
      <c r="G85" s="9">
        <v>45684</v>
      </c>
    </row>
    <row r="86" spans="1:7" x14ac:dyDescent="0.25">
      <c r="A86" t="s">
        <v>289</v>
      </c>
      <c r="B86" t="str">
        <f t="shared" si="1"/>
        <v>Mar</v>
      </c>
      <c r="C86" t="s">
        <v>293</v>
      </c>
      <c r="D86" t="s">
        <v>1</v>
      </c>
      <c r="E86">
        <v>26750</v>
      </c>
      <c r="F86">
        <v>1605</v>
      </c>
      <c r="G86" s="9">
        <v>45726</v>
      </c>
    </row>
    <row r="87" spans="1:7" x14ac:dyDescent="0.25">
      <c r="A87" t="s">
        <v>289</v>
      </c>
      <c r="B87" t="str">
        <f t="shared" si="1"/>
        <v>Mar</v>
      </c>
      <c r="C87" t="s">
        <v>290</v>
      </c>
      <c r="D87" t="s">
        <v>0</v>
      </c>
      <c r="E87">
        <v>36699</v>
      </c>
      <c r="F87">
        <v>4403.88</v>
      </c>
      <c r="G87" s="9">
        <v>45728</v>
      </c>
    </row>
    <row r="88" spans="1:7" x14ac:dyDescent="0.25">
      <c r="A88" t="s">
        <v>291</v>
      </c>
      <c r="B88" t="str">
        <f t="shared" si="1"/>
        <v>Feb</v>
      </c>
      <c r="C88" t="s">
        <v>227</v>
      </c>
      <c r="D88" t="s">
        <v>0</v>
      </c>
      <c r="E88">
        <v>29281</v>
      </c>
      <c r="F88">
        <v>1756.86</v>
      </c>
      <c r="G88" s="9">
        <v>45695</v>
      </c>
    </row>
    <row r="89" spans="1:7" x14ac:dyDescent="0.25">
      <c r="A89" t="s">
        <v>291</v>
      </c>
      <c r="B89" t="str">
        <f t="shared" si="1"/>
        <v>Jan</v>
      </c>
      <c r="C89" t="s">
        <v>290</v>
      </c>
      <c r="D89" t="s">
        <v>0</v>
      </c>
      <c r="E89">
        <v>19361</v>
      </c>
      <c r="F89">
        <v>5033.8599999999997</v>
      </c>
      <c r="G89" s="9">
        <v>45661</v>
      </c>
    </row>
    <row r="90" spans="1:7" x14ac:dyDescent="0.25">
      <c r="A90" t="s">
        <v>291</v>
      </c>
      <c r="B90" t="str">
        <f t="shared" si="1"/>
        <v>Jan</v>
      </c>
      <c r="C90" t="s">
        <v>293</v>
      </c>
      <c r="D90" t="s">
        <v>1</v>
      </c>
      <c r="E90">
        <v>38914</v>
      </c>
      <c r="F90">
        <v>6226.24</v>
      </c>
      <c r="G90" s="9">
        <v>45668</v>
      </c>
    </row>
    <row r="91" spans="1:7" x14ac:dyDescent="0.25">
      <c r="A91" t="s">
        <v>291</v>
      </c>
      <c r="B91" t="str">
        <f t="shared" si="1"/>
        <v>Jan</v>
      </c>
      <c r="C91" t="s">
        <v>225</v>
      </c>
      <c r="D91" t="s">
        <v>2</v>
      </c>
      <c r="E91">
        <v>25694</v>
      </c>
      <c r="F91">
        <v>5909.62</v>
      </c>
      <c r="G91" s="9">
        <v>45688</v>
      </c>
    </row>
    <row r="92" spans="1:7" x14ac:dyDescent="0.25">
      <c r="A92" t="s">
        <v>288</v>
      </c>
      <c r="B92" t="str">
        <f t="shared" si="1"/>
        <v>Mar</v>
      </c>
      <c r="C92" t="s">
        <v>290</v>
      </c>
      <c r="D92" t="s">
        <v>0</v>
      </c>
      <c r="E92">
        <v>17833</v>
      </c>
      <c r="F92">
        <v>2139.96</v>
      </c>
      <c r="G92" s="9">
        <v>45733</v>
      </c>
    </row>
    <row r="93" spans="1:7" x14ac:dyDescent="0.25">
      <c r="A93" t="s">
        <v>288</v>
      </c>
      <c r="B93" t="str">
        <f t="shared" si="1"/>
        <v>Feb</v>
      </c>
      <c r="C93" t="s">
        <v>290</v>
      </c>
      <c r="D93" t="s">
        <v>0</v>
      </c>
      <c r="E93">
        <v>17159</v>
      </c>
      <c r="F93">
        <v>2573.85</v>
      </c>
      <c r="G93" s="9">
        <v>45701</v>
      </c>
    </row>
    <row r="94" spans="1:7" x14ac:dyDescent="0.25">
      <c r="A94" t="s">
        <v>292</v>
      </c>
      <c r="B94" t="str">
        <f t="shared" si="1"/>
        <v>Jan</v>
      </c>
      <c r="C94" t="s">
        <v>290</v>
      </c>
      <c r="D94" t="s">
        <v>1</v>
      </c>
      <c r="E94">
        <v>19758</v>
      </c>
      <c r="F94">
        <v>1580.64</v>
      </c>
      <c r="G94" s="9">
        <v>45686</v>
      </c>
    </row>
    <row r="95" spans="1:7" x14ac:dyDescent="0.25">
      <c r="A95" t="s">
        <v>289</v>
      </c>
      <c r="B95" t="str">
        <f t="shared" si="1"/>
        <v>Mar</v>
      </c>
      <c r="C95" t="s">
        <v>227</v>
      </c>
      <c r="D95" t="s">
        <v>0</v>
      </c>
      <c r="E95">
        <v>36840</v>
      </c>
      <c r="F95">
        <v>2578.8000000000002</v>
      </c>
      <c r="G95" s="9">
        <v>45742</v>
      </c>
    </row>
    <row r="96" spans="1:7" x14ac:dyDescent="0.25">
      <c r="A96" t="s">
        <v>288</v>
      </c>
      <c r="B96" t="str">
        <f t="shared" si="1"/>
        <v>Jan</v>
      </c>
      <c r="C96" t="s">
        <v>290</v>
      </c>
      <c r="D96" t="s">
        <v>1</v>
      </c>
      <c r="E96">
        <v>21622</v>
      </c>
      <c r="F96">
        <v>3459.52</v>
      </c>
      <c r="G96" s="9">
        <v>45677</v>
      </c>
    </row>
    <row r="97" spans="1:7" x14ac:dyDescent="0.25">
      <c r="A97" t="s">
        <v>289</v>
      </c>
      <c r="B97" t="str">
        <f t="shared" si="1"/>
        <v>Feb</v>
      </c>
      <c r="C97" t="s">
        <v>293</v>
      </c>
      <c r="D97" t="s">
        <v>1</v>
      </c>
      <c r="E97">
        <v>18626</v>
      </c>
      <c r="F97">
        <v>2048.86</v>
      </c>
      <c r="G97" s="9">
        <v>45709</v>
      </c>
    </row>
    <row r="98" spans="1:7" x14ac:dyDescent="0.25">
      <c r="A98" t="s">
        <v>288</v>
      </c>
      <c r="B98" t="str">
        <f t="shared" si="1"/>
        <v>Jan</v>
      </c>
      <c r="C98" t="s">
        <v>225</v>
      </c>
      <c r="D98" t="s">
        <v>1</v>
      </c>
      <c r="E98">
        <v>32255</v>
      </c>
      <c r="F98">
        <v>4193.1499999999996</v>
      </c>
      <c r="G98" s="9">
        <v>45668</v>
      </c>
    </row>
    <row r="99" spans="1:7" x14ac:dyDescent="0.25">
      <c r="A99" t="s">
        <v>288</v>
      </c>
      <c r="B99" t="str">
        <f t="shared" si="1"/>
        <v>Jan</v>
      </c>
      <c r="C99" t="s">
        <v>225</v>
      </c>
      <c r="D99" t="s">
        <v>1</v>
      </c>
      <c r="E99">
        <v>10483</v>
      </c>
      <c r="F99">
        <v>1991.77</v>
      </c>
      <c r="G99" s="9">
        <v>45684</v>
      </c>
    </row>
    <row r="100" spans="1:7" x14ac:dyDescent="0.25">
      <c r="A100" t="s">
        <v>289</v>
      </c>
      <c r="B100" t="str">
        <f t="shared" si="1"/>
        <v>Mar</v>
      </c>
      <c r="C100" t="s">
        <v>223</v>
      </c>
      <c r="D100" t="s">
        <v>2</v>
      </c>
      <c r="E100">
        <v>30168</v>
      </c>
      <c r="F100">
        <v>8447.0400000000009</v>
      </c>
      <c r="G100" s="9">
        <v>45739</v>
      </c>
    </row>
    <row r="101" spans="1:7" x14ac:dyDescent="0.25">
      <c r="A101" t="s">
        <v>291</v>
      </c>
      <c r="B101" t="str">
        <f t="shared" si="1"/>
        <v>Feb</v>
      </c>
      <c r="C101" t="s">
        <v>227</v>
      </c>
      <c r="D101" t="s">
        <v>2</v>
      </c>
      <c r="E101">
        <v>39227</v>
      </c>
      <c r="F101">
        <v>8629.94</v>
      </c>
      <c r="G101" s="9">
        <v>45693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3511-77AD-4313-A58D-20F1715B06C4}">
  <dimension ref="A1:X103"/>
  <sheetViews>
    <sheetView topLeftCell="L1" workbookViewId="0">
      <selection activeCell="M1" sqref="M1"/>
    </sheetView>
  </sheetViews>
  <sheetFormatPr defaultRowHeight="15" x14ac:dyDescent="0.25"/>
  <sheetData>
    <row r="1" spans="1:24" x14ac:dyDescent="0.25">
      <c r="A1" t="str" cm="1">
        <f t="array" ref="A1:G100">Q1Sales[]</f>
        <v>Aravind</v>
      </c>
      <c r="B1" t="str">
        <v>Jan</v>
      </c>
      <c r="C1" t="str">
        <v>East</v>
      </c>
      <c r="D1" t="str">
        <v>P3</v>
      </c>
      <c r="E1">
        <v>10107</v>
      </c>
      <c r="F1">
        <v>2021.4</v>
      </c>
      <c r="G1">
        <v>45673</v>
      </c>
      <c r="J1" t="str" cm="1">
        <f t="array" ref="J1:J100">Q1Sales[Name]</f>
        <v>Aravind</v>
      </c>
      <c r="M1" t="str" cm="1">
        <f t="array" ref="M1:M100">Q1Sales[Region]</f>
        <v>East</v>
      </c>
      <c r="O1" t="str" cm="1">
        <f t="array" ref="O1:U1">Q1Sales[#Headers]</f>
        <v>Name</v>
      </c>
      <c r="P1" t="str">
        <v>Month</v>
      </c>
      <c r="Q1" t="str">
        <v>Region</v>
      </c>
      <c r="R1" t="str">
        <v>Product</v>
      </c>
      <c r="S1" t="str">
        <v>Sales</v>
      </c>
      <c r="T1" t="str">
        <v>Profit</v>
      </c>
      <c r="U1" t="str">
        <v>Date</v>
      </c>
    </row>
    <row r="2" spans="1:24" x14ac:dyDescent="0.25">
      <c r="A2" t="str">
        <v>Pavan</v>
      </c>
      <c r="B2" t="str">
        <v>Jan</v>
      </c>
      <c r="C2" t="str">
        <v>South</v>
      </c>
      <c r="D2" t="str">
        <v>P2</v>
      </c>
      <c r="E2">
        <v>34572</v>
      </c>
      <c r="F2">
        <v>6914.4</v>
      </c>
      <c r="G2">
        <v>45684</v>
      </c>
      <c r="J2" t="str">
        <v>Pavan</v>
      </c>
      <c r="M2" t="str">
        <v>South</v>
      </c>
    </row>
    <row r="3" spans="1:24" x14ac:dyDescent="0.25">
      <c r="A3" t="str">
        <v>Shahid</v>
      </c>
      <c r="B3" t="str">
        <v>Feb</v>
      </c>
      <c r="C3" t="str">
        <v>North</v>
      </c>
      <c r="D3" t="str">
        <v>P3</v>
      </c>
      <c r="E3">
        <v>23026</v>
      </c>
      <c r="F3">
        <v>4144.68</v>
      </c>
      <c r="G3">
        <v>45715</v>
      </c>
      <c r="J3" t="str">
        <v>Shahid</v>
      </c>
      <c r="M3" t="str">
        <v>North</v>
      </c>
      <c r="O3" s="1" t="str" cm="1">
        <f t="array" ref="O3:U103">Q1Sales[#All]</f>
        <v>Name</v>
      </c>
      <c r="P3" s="1" t="str">
        <v>Month</v>
      </c>
      <c r="Q3" s="1" t="str">
        <v>Region</v>
      </c>
      <c r="R3" s="1" t="str">
        <v>Product</v>
      </c>
      <c r="S3" s="1" t="str">
        <v>Sales</v>
      </c>
      <c r="T3" s="1" t="str">
        <v>Profit</v>
      </c>
      <c r="U3" s="1" t="str">
        <v>Date</v>
      </c>
      <c r="X3" t="e" cm="1">
        <f t="array" ref="X3">Q1Sales[#Totals]</f>
        <v>#REF!</v>
      </c>
    </row>
    <row r="4" spans="1:24" x14ac:dyDescent="0.25">
      <c r="A4" t="str">
        <v>Shahid</v>
      </c>
      <c r="B4" t="str">
        <v>Jan</v>
      </c>
      <c r="C4" t="str">
        <v>West</v>
      </c>
      <c r="D4" t="str">
        <v>P3</v>
      </c>
      <c r="E4">
        <v>24153</v>
      </c>
      <c r="F4">
        <v>6762.84</v>
      </c>
      <c r="G4">
        <v>45662</v>
      </c>
      <c r="J4" t="str">
        <v>Shahid</v>
      </c>
      <c r="M4" t="str">
        <v>West</v>
      </c>
      <c r="O4" t="str">
        <v>Aravind</v>
      </c>
      <c r="P4" t="str">
        <v>Jan</v>
      </c>
      <c r="Q4" t="str">
        <v>East</v>
      </c>
      <c r="R4" t="str">
        <v>P3</v>
      </c>
      <c r="S4">
        <v>10107</v>
      </c>
      <c r="T4">
        <v>2021.4</v>
      </c>
      <c r="U4">
        <v>45673</v>
      </c>
    </row>
    <row r="5" spans="1:24" x14ac:dyDescent="0.25">
      <c r="A5" t="str">
        <v>Shahid</v>
      </c>
      <c r="B5" t="str">
        <v>Feb</v>
      </c>
      <c r="C5" t="str">
        <v>North</v>
      </c>
      <c r="D5" t="str">
        <v>P1</v>
      </c>
      <c r="E5">
        <v>39752</v>
      </c>
      <c r="F5">
        <v>6757.84</v>
      </c>
      <c r="G5">
        <v>45690</v>
      </c>
      <c r="J5" t="str">
        <v>Shahid</v>
      </c>
      <c r="M5" t="str">
        <v>North</v>
      </c>
      <c r="O5" t="str">
        <v>Pavan</v>
      </c>
      <c r="P5" t="str">
        <v>Jan</v>
      </c>
      <c r="Q5" t="str">
        <v>South</v>
      </c>
      <c r="R5" t="str">
        <v>P2</v>
      </c>
      <c r="S5">
        <v>34572</v>
      </c>
      <c r="T5">
        <v>6914.4</v>
      </c>
      <c r="U5">
        <v>45684</v>
      </c>
    </row>
    <row r="6" spans="1:24" x14ac:dyDescent="0.25">
      <c r="A6" t="str">
        <v>Aravind</v>
      </c>
      <c r="B6" t="str">
        <v>Mar</v>
      </c>
      <c r="C6" t="str">
        <v>East</v>
      </c>
      <c r="D6" t="str">
        <v>P3</v>
      </c>
      <c r="E6">
        <v>13702</v>
      </c>
      <c r="F6">
        <v>959.14</v>
      </c>
      <c r="G6">
        <v>45722</v>
      </c>
      <c r="J6" t="str">
        <v>Aravind</v>
      </c>
      <c r="M6" t="str">
        <v>East</v>
      </c>
      <c r="O6" t="str">
        <v>Shahid</v>
      </c>
      <c r="P6" t="str">
        <v>Feb</v>
      </c>
      <c r="Q6" t="str">
        <v>North</v>
      </c>
      <c r="R6" t="str">
        <v>P3</v>
      </c>
      <c r="S6">
        <v>23026</v>
      </c>
      <c r="T6">
        <v>4144.68</v>
      </c>
      <c r="U6">
        <v>45715</v>
      </c>
    </row>
    <row r="7" spans="1:24" x14ac:dyDescent="0.25">
      <c r="A7" t="str">
        <v>Aravind</v>
      </c>
      <c r="B7" t="str">
        <v>Feb</v>
      </c>
      <c r="C7" t="str">
        <v>Central</v>
      </c>
      <c r="D7" t="str">
        <v>P1</v>
      </c>
      <c r="E7">
        <v>16726</v>
      </c>
      <c r="F7">
        <v>836.3</v>
      </c>
      <c r="G7">
        <v>45708</v>
      </c>
      <c r="J7" t="str">
        <v>Aravind</v>
      </c>
      <c r="M7" t="str">
        <v>Central</v>
      </c>
      <c r="O7" t="str">
        <v>Shahid</v>
      </c>
      <c r="P7" t="str">
        <v>Jan</v>
      </c>
      <c r="Q7" t="str">
        <v>West</v>
      </c>
      <c r="R7" t="str">
        <v>P3</v>
      </c>
      <c r="S7">
        <v>24153</v>
      </c>
      <c r="T7">
        <v>6762.84</v>
      </c>
      <c r="U7">
        <v>45662</v>
      </c>
    </row>
    <row r="8" spans="1:24" x14ac:dyDescent="0.25">
      <c r="A8" t="str">
        <v>Kalyan</v>
      </c>
      <c r="B8" t="str">
        <v>Feb</v>
      </c>
      <c r="C8" t="str">
        <v>South</v>
      </c>
      <c r="D8" t="str">
        <v>P3</v>
      </c>
      <c r="E8">
        <v>14606</v>
      </c>
      <c r="F8">
        <v>2921.2</v>
      </c>
      <c r="G8">
        <v>45706</v>
      </c>
      <c r="J8" t="str">
        <v>Kalyan</v>
      </c>
      <c r="M8" t="str">
        <v>South</v>
      </c>
      <c r="O8" t="str">
        <v>Shahid</v>
      </c>
      <c r="P8" t="str">
        <v>Feb</v>
      </c>
      <c r="Q8" t="str">
        <v>North</v>
      </c>
      <c r="R8" t="str">
        <v>P1</v>
      </c>
      <c r="S8">
        <v>39752</v>
      </c>
      <c r="T8">
        <v>6757.84</v>
      </c>
      <c r="U8">
        <v>45690</v>
      </c>
    </row>
    <row r="9" spans="1:24" x14ac:dyDescent="0.25">
      <c r="A9" t="str">
        <v>Pavan</v>
      </c>
      <c r="B9" t="str">
        <v>Feb</v>
      </c>
      <c r="C9" t="str">
        <v>South</v>
      </c>
      <c r="D9" t="str">
        <v>P2</v>
      </c>
      <c r="E9">
        <v>27750</v>
      </c>
      <c r="F9">
        <v>7215</v>
      </c>
      <c r="G9">
        <v>45707</v>
      </c>
      <c r="J9" t="str">
        <v>Pavan</v>
      </c>
      <c r="M9" t="str">
        <v>South</v>
      </c>
      <c r="O9" t="str">
        <v>Aravind</v>
      </c>
      <c r="P9" t="str">
        <v>Mar</v>
      </c>
      <c r="Q9" t="str">
        <v>East</v>
      </c>
      <c r="R9" t="str">
        <v>P3</v>
      </c>
      <c r="S9">
        <v>13702</v>
      </c>
      <c r="T9">
        <v>959.14</v>
      </c>
      <c r="U9">
        <v>45722</v>
      </c>
    </row>
    <row r="10" spans="1:24" x14ac:dyDescent="0.25">
      <c r="A10" t="str">
        <v>Kalyan</v>
      </c>
      <c r="B10" t="str">
        <v>Jan</v>
      </c>
      <c r="C10" t="str">
        <v>Central</v>
      </c>
      <c r="D10" t="str">
        <v>P2</v>
      </c>
      <c r="E10">
        <v>19238</v>
      </c>
      <c r="F10">
        <v>4232.3599999999997</v>
      </c>
      <c r="G10">
        <v>45664</v>
      </c>
      <c r="J10" t="str">
        <v>Kalyan</v>
      </c>
      <c r="M10" t="str">
        <v>Central</v>
      </c>
      <c r="O10" t="str">
        <v>Aravind</v>
      </c>
      <c r="P10" t="str">
        <v>Feb</v>
      </c>
      <c r="Q10" t="str">
        <v>Central</v>
      </c>
      <c r="R10" t="str">
        <v>P1</v>
      </c>
      <c r="S10">
        <v>16726</v>
      </c>
      <c r="T10">
        <v>836.3</v>
      </c>
      <c r="U10">
        <v>45708</v>
      </c>
    </row>
    <row r="11" spans="1:24" x14ac:dyDescent="0.25">
      <c r="A11" t="str">
        <v>Aravind</v>
      </c>
      <c r="B11" t="str">
        <v>Mar</v>
      </c>
      <c r="C11" t="str">
        <v>Central</v>
      </c>
      <c r="D11" t="str">
        <v>P3</v>
      </c>
      <c r="E11">
        <v>32426</v>
      </c>
      <c r="F11">
        <v>9403.5400000000009</v>
      </c>
      <c r="G11">
        <v>45739</v>
      </c>
      <c r="J11" t="str">
        <v>Aravind</v>
      </c>
      <c r="M11" t="str">
        <v>Central</v>
      </c>
      <c r="O11" t="str">
        <v>Kalyan</v>
      </c>
      <c r="P11" t="str">
        <v>Feb</v>
      </c>
      <c r="Q11" t="str">
        <v>South</v>
      </c>
      <c r="R11" t="str">
        <v>P3</v>
      </c>
      <c r="S11">
        <v>14606</v>
      </c>
      <c r="T11">
        <v>2921.2</v>
      </c>
      <c r="U11">
        <v>45706</v>
      </c>
    </row>
    <row r="12" spans="1:24" x14ac:dyDescent="0.25">
      <c r="A12" t="str">
        <v>Aravind</v>
      </c>
      <c r="B12" t="str">
        <v>Mar</v>
      </c>
      <c r="C12" t="str">
        <v>East</v>
      </c>
      <c r="D12" t="str">
        <v>P3</v>
      </c>
      <c r="E12">
        <v>33943</v>
      </c>
      <c r="F12">
        <v>4412.59</v>
      </c>
      <c r="G12">
        <v>45718</v>
      </c>
      <c r="J12" t="str">
        <v>Aravind</v>
      </c>
      <c r="M12" t="str">
        <v>East</v>
      </c>
      <c r="O12" t="str">
        <v>Pavan</v>
      </c>
      <c r="P12" t="str">
        <v>Feb</v>
      </c>
      <c r="Q12" t="str">
        <v>South</v>
      </c>
      <c r="R12" t="str">
        <v>P2</v>
      </c>
      <c r="S12">
        <v>27750</v>
      </c>
      <c r="T12">
        <v>7215</v>
      </c>
      <c r="U12">
        <v>45707</v>
      </c>
    </row>
    <row r="13" spans="1:24" x14ac:dyDescent="0.25">
      <c r="A13" t="str">
        <v>Pavan</v>
      </c>
      <c r="B13" t="str">
        <v>Feb</v>
      </c>
      <c r="C13" t="str">
        <v>East</v>
      </c>
      <c r="D13" t="str">
        <v>P2</v>
      </c>
      <c r="E13">
        <v>38693</v>
      </c>
      <c r="F13">
        <v>8899.39</v>
      </c>
      <c r="G13">
        <v>45705</v>
      </c>
      <c r="J13" t="str">
        <v>Pavan</v>
      </c>
      <c r="M13" t="str">
        <v>East</v>
      </c>
      <c r="O13" t="str">
        <v>Kalyan</v>
      </c>
      <c r="P13" t="str">
        <v>Jan</v>
      </c>
      <c r="Q13" t="str">
        <v>Central</v>
      </c>
      <c r="R13" t="str">
        <v>P2</v>
      </c>
      <c r="S13">
        <v>19238</v>
      </c>
      <c r="T13">
        <v>4232.3599999999997</v>
      </c>
      <c r="U13">
        <v>45664</v>
      </c>
    </row>
    <row r="14" spans="1:24" x14ac:dyDescent="0.25">
      <c r="A14" t="str">
        <v>Aravind</v>
      </c>
      <c r="B14" t="str">
        <v>Feb</v>
      </c>
      <c r="C14" t="str">
        <v>Central</v>
      </c>
      <c r="D14" t="str">
        <v>P2</v>
      </c>
      <c r="E14">
        <v>22964</v>
      </c>
      <c r="F14">
        <v>1607.48</v>
      </c>
      <c r="G14">
        <v>45705</v>
      </c>
      <c r="J14" t="str">
        <v>Aravind</v>
      </c>
      <c r="M14" t="str">
        <v>Central</v>
      </c>
      <c r="O14" t="str">
        <v>Aravind</v>
      </c>
      <c r="P14" t="str">
        <v>Mar</v>
      </c>
      <c r="Q14" t="str">
        <v>Central</v>
      </c>
      <c r="R14" t="str">
        <v>P3</v>
      </c>
      <c r="S14">
        <v>32426</v>
      </c>
      <c r="T14">
        <v>9403.5400000000009</v>
      </c>
      <c r="U14">
        <v>45739</v>
      </c>
    </row>
    <row r="15" spans="1:24" x14ac:dyDescent="0.25">
      <c r="A15" t="str">
        <v>Aravind</v>
      </c>
      <c r="B15" t="str">
        <v>Feb</v>
      </c>
      <c r="C15" t="str">
        <v>East</v>
      </c>
      <c r="D15" t="str">
        <v>P3</v>
      </c>
      <c r="E15">
        <v>28527</v>
      </c>
      <c r="F15">
        <v>6846.48</v>
      </c>
      <c r="G15">
        <v>45701</v>
      </c>
      <c r="J15" t="str">
        <v>Aravind</v>
      </c>
      <c r="M15" t="str">
        <v>East</v>
      </c>
      <c r="O15" t="str">
        <v>Aravind</v>
      </c>
      <c r="P15" t="str">
        <v>Mar</v>
      </c>
      <c r="Q15" t="str">
        <v>East</v>
      </c>
      <c r="R15" t="str">
        <v>P3</v>
      </c>
      <c r="S15">
        <v>33943</v>
      </c>
      <c r="T15">
        <v>4412.59</v>
      </c>
      <c r="U15">
        <v>45718</v>
      </c>
    </row>
    <row r="16" spans="1:24" x14ac:dyDescent="0.25">
      <c r="A16" t="str">
        <v>Shahid</v>
      </c>
      <c r="B16" t="str">
        <v>Feb</v>
      </c>
      <c r="C16" t="str">
        <v>South</v>
      </c>
      <c r="D16" t="str">
        <v>P3</v>
      </c>
      <c r="E16">
        <v>21575</v>
      </c>
      <c r="F16">
        <v>3020.5</v>
      </c>
      <c r="G16">
        <v>45705</v>
      </c>
      <c r="J16" t="str">
        <v>Shahid</v>
      </c>
      <c r="M16" t="str">
        <v>South</v>
      </c>
      <c r="O16" t="str">
        <v>Pavan</v>
      </c>
      <c r="P16" t="str">
        <v>Feb</v>
      </c>
      <c r="Q16" t="str">
        <v>East</v>
      </c>
      <c r="R16" t="str">
        <v>P2</v>
      </c>
      <c r="S16">
        <v>38693</v>
      </c>
      <c r="T16">
        <v>8899.39</v>
      </c>
      <c r="U16">
        <v>45705</v>
      </c>
    </row>
    <row r="17" spans="1:21" x14ac:dyDescent="0.25">
      <c r="A17" t="str">
        <v>Shahid</v>
      </c>
      <c r="B17" t="str">
        <v>Jan</v>
      </c>
      <c r="C17" t="str">
        <v>East</v>
      </c>
      <c r="D17" t="str">
        <v>P2</v>
      </c>
      <c r="E17">
        <v>39387</v>
      </c>
      <c r="F17">
        <v>11422.23</v>
      </c>
      <c r="G17">
        <v>45677</v>
      </c>
      <c r="J17" t="str">
        <v>Shahid</v>
      </c>
      <c r="M17" t="str">
        <v>East</v>
      </c>
      <c r="O17" t="str">
        <v>Aravind</v>
      </c>
      <c r="P17" t="str">
        <v>Feb</v>
      </c>
      <c r="Q17" t="str">
        <v>Central</v>
      </c>
      <c r="R17" t="str">
        <v>P2</v>
      </c>
      <c r="S17">
        <v>22964</v>
      </c>
      <c r="T17">
        <v>1607.48</v>
      </c>
      <c r="U17">
        <v>45705</v>
      </c>
    </row>
    <row r="18" spans="1:21" x14ac:dyDescent="0.25">
      <c r="A18" t="str">
        <v>Pavan</v>
      </c>
      <c r="B18" t="str">
        <v>Mar</v>
      </c>
      <c r="C18" t="str">
        <v>North</v>
      </c>
      <c r="D18" t="str">
        <v>P1</v>
      </c>
      <c r="E18">
        <v>32806</v>
      </c>
      <c r="F18">
        <v>4264.78</v>
      </c>
      <c r="G18">
        <v>45726</v>
      </c>
      <c r="J18" t="str">
        <v>Pavan</v>
      </c>
      <c r="M18" t="str">
        <v>North</v>
      </c>
      <c r="O18" t="str">
        <v>Aravind</v>
      </c>
      <c r="P18" t="str">
        <v>Feb</v>
      </c>
      <c r="Q18" t="str">
        <v>East</v>
      </c>
      <c r="R18" t="str">
        <v>P3</v>
      </c>
      <c r="S18">
        <v>28527</v>
      </c>
      <c r="T18">
        <v>6846.48</v>
      </c>
      <c r="U18">
        <v>45701</v>
      </c>
    </row>
    <row r="19" spans="1:21" x14ac:dyDescent="0.25">
      <c r="A19" t="str">
        <v>Kalyan</v>
      </c>
      <c r="B19" t="str">
        <v>Jan</v>
      </c>
      <c r="C19" t="str">
        <v>North</v>
      </c>
      <c r="D19" t="str">
        <v>P3</v>
      </c>
      <c r="E19">
        <v>39047</v>
      </c>
      <c r="F19">
        <v>3514.23</v>
      </c>
      <c r="G19">
        <v>45688</v>
      </c>
      <c r="J19" t="str">
        <v>Kalyan</v>
      </c>
      <c r="M19" t="str">
        <v>North</v>
      </c>
      <c r="O19" t="str">
        <v>Shahid</v>
      </c>
      <c r="P19" t="str">
        <v>Feb</v>
      </c>
      <c r="Q19" t="str">
        <v>South</v>
      </c>
      <c r="R19" t="str">
        <v>P3</v>
      </c>
      <c r="S19">
        <v>21575</v>
      </c>
      <c r="T19">
        <v>3020.5</v>
      </c>
      <c r="U19">
        <v>45705</v>
      </c>
    </row>
    <row r="20" spans="1:21" x14ac:dyDescent="0.25">
      <c r="A20" t="str">
        <v>Shahid</v>
      </c>
      <c r="B20" t="str">
        <v>Feb</v>
      </c>
      <c r="C20" t="str">
        <v>South</v>
      </c>
      <c r="D20" t="str">
        <v>P1</v>
      </c>
      <c r="E20">
        <v>27577</v>
      </c>
      <c r="F20">
        <v>1930.39</v>
      </c>
      <c r="G20">
        <v>45700</v>
      </c>
      <c r="J20" t="str">
        <v>Shahid</v>
      </c>
      <c r="M20" t="str">
        <v>South</v>
      </c>
      <c r="O20" t="str">
        <v>Shahid</v>
      </c>
      <c r="P20" t="str">
        <v>Jan</v>
      </c>
      <c r="Q20" t="str">
        <v>East</v>
      </c>
      <c r="R20" t="str">
        <v>P2</v>
      </c>
      <c r="S20">
        <v>39387</v>
      </c>
      <c r="T20">
        <v>11422.23</v>
      </c>
      <c r="U20">
        <v>45677</v>
      </c>
    </row>
    <row r="21" spans="1:21" x14ac:dyDescent="0.25">
      <c r="A21" t="str">
        <v>Aravind</v>
      </c>
      <c r="B21" t="str">
        <v>Mar</v>
      </c>
      <c r="C21" t="str">
        <v>West</v>
      </c>
      <c r="D21" t="str">
        <v>P2</v>
      </c>
      <c r="E21">
        <v>32575</v>
      </c>
      <c r="F21">
        <v>1628.75</v>
      </c>
      <c r="G21">
        <v>45721</v>
      </c>
      <c r="J21" t="str">
        <v>Aravind</v>
      </c>
      <c r="M21" t="str">
        <v>West</v>
      </c>
      <c r="O21" t="str">
        <v>Pavan</v>
      </c>
      <c r="P21" t="str">
        <v>Mar</v>
      </c>
      <c r="Q21" t="str">
        <v>North</v>
      </c>
      <c r="R21" t="str">
        <v>P1</v>
      </c>
      <c r="S21">
        <v>32806</v>
      </c>
      <c r="T21">
        <v>4264.78</v>
      </c>
      <c r="U21">
        <v>45726</v>
      </c>
    </row>
    <row r="22" spans="1:21" x14ac:dyDescent="0.25">
      <c r="A22" t="str">
        <v>Pavan</v>
      </c>
      <c r="B22" t="str">
        <v>Jan</v>
      </c>
      <c r="C22" t="str">
        <v>Central</v>
      </c>
      <c r="D22" t="str">
        <v>P3</v>
      </c>
      <c r="E22">
        <v>10380</v>
      </c>
      <c r="F22">
        <v>622.79999999999995</v>
      </c>
      <c r="G22">
        <v>45669</v>
      </c>
      <c r="J22" t="str">
        <v>Pavan</v>
      </c>
      <c r="M22" t="str">
        <v>Central</v>
      </c>
      <c r="O22" t="str">
        <v>Kalyan</v>
      </c>
      <c r="P22" t="str">
        <v>Jan</v>
      </c>
      <c r="Q22" t="str">
        <v>North</v>
      </c>
      <c r="R22" t="str">
        <v>P3</v>
      </c>
      <c r="S22">
        <v>39047</v>
      </c>
      <c r="T22">
        <v>3514.23</v>
      </c>
      <c r="U22">
        <v>45688</v>
      </c>
    </row>
    <row r="23" spans="1:21" x14ac:dyDescent="0.25">
      <c r="A23" t="str">
        <v>Pavan</v>
      </c>
      <c r="B23" t="str">
        <v>Mar</v>
      </c>
      <c r="C23" t="str">
        <v>North</v>
      </c>
      <c r="D23" t="str">
        <v>P2</v>
      </c>
      <c r="E23">
        <v>13009</v>
      </c>
      <c r="F23">
        <v>2601.8000000000002</v>
      </c>
      <c r="G23">
        <v>45731</v>
      </c>
      <c r="J23" t="str">
        <v>Pavan</v>
      </c>
      <c r="M23" t="str">
        <v>North</v>
      </c>
      <c r="O23" t="str">
        <v>Shahid</v>
      </c>
      <c r="P23" t="str">
        <v>Feb</v>
      </c>
      <c r="Q23" t="str">
        <v>South</v>
      </c>
      <c r="R23" t="str">
        <v>P1</v>
      </c>
      <c r="S23">
        <v>27577</v>
      </c>
      <c r="T23">
        <v>1930.39</v>
      </c>
      <c r="U23">
        <v>45700</v>
      </c>
    </row>
    <row r="24" spans="1:21" x14ac:dyDescent="0.25">
      <c r="A24" t="str">
        <v>Shahid</v>
      </c>
      <c r="B24" t="str">
        <v>Jan</v>
      </c>
      <c r="C24" t="str">
        <v>South</v>
      </c>
      <c r="D24" t="str">
        <v>P2</v>
      </c>
      <c r="E24">
        <v>10529</v>
      </c>
      <c r="F24">
        <v>842.32</v>
      </c>
      <c r="G24">
        <v>45674</v>
      </c>
      <c r="J24" t="str">
        <v>Shahid</v>
      </c>
      <c r="M24" t="str">
        <v>South</v>
      </c>
      <c r="O24" t="str">
        <v>Aravind</v>
      </c>
      <c r="P24" t="str">
        <v>Mar</v>
      </c>
      <c r="Q24" t="str">
        <v>West</v>
      </c>
      <c r="R24" t="str">
        <v>P2</v>
      </c>
      <c r="S24">
        <v>32575</v>
      </c>
      <c r="T24">
        <v>1628.75</v>
      </c>
      <c r="U24">
        <v>45721</v>
      </c>
    </row>
    <row r="25" spans="1:21" x14ac:dyDescent="0.25">
      <c r="A25" t="str">
        <v>Kalyan</v>
      </c>
      <c r="B25" t="str">
        <v>Feb</v>
      </c>
      <c r="C25" t="str">
        <v>Central</v>
      </c>
      <c r="D25" t="str">
        <v>P2</v>
      </c>
      <c r="E25">
        <v>14635</v>
      </c>
      <c r="F25">
        <v>3512.4</v>
      </c>
      <c r="G25">
        <v>45692</v>
      </c>
      <c r="J25" t="str">
        <v>Kalyan</v>
      </c>
      <c r="M25" t="str">
        <v>Central</v>
      </c>
      <c r="O25" t="str">
        <v>Pavan</v>
      </c>
      <c r="P25" t="str">
        <v>Jan</v>
      </c>
      <c r="Q25" t="str">
        <v>Central</v>
      </c>
      <c r="R25" t="str">
        <v>P3</v>
      </c>
      <c r="S25">
        <v>10380</v>
      </c>
      <c r="T25">
        <v>622.79999999999995</v>
      </c>
      <c r="U25">
        <v>45669</v>
      </c>
    </row>
    <row r="26" spans="1:21" x14ac:dyDescent="0.25">
      <c r="A26" t="str">
        <v>Shahid</v>
      </c>
      <c r="B26" t="str">
        <v>Jan</v>
      </c>
      <c r="C26" t="str">
        <v>South</v>
      </c>
      <c r="D26" t="str">
        <v>P1</v>
      </c>
      <c r="E26">
        <v>30972</v>
      </c>
      <c r="F26">
        <v>7743</v>
      </c>
      <c r="G26">
        <v>45682</v>
      </c>
      <c r="J26" t="str">
        <v>Shahid</v>
      </c>
      <c r="M26" t="str">
        <v>South</v>
      </c>
      <c r="O26" t="str">
        <v>Pavan</v>
      </c>
      <c r="P26" t="str">
        <v>Mar</v>
      </c>
      <c r="Q26" t="str">
        <v>North</v>
      </c>
      <c r="R26" t="str">
        <v>P2</v>
      </c>
      <c r="S26">
        <v>13009</v>
      </c>
      <c r="T26">
        <v>2601.8000000000002</v>
      </c>
      <c r="U26">
        <v>45731</v>
      </c>
    </row>
    <row r="27" spans="1:21" x14ac:dyDescent="0.25">
      <c r="A27" t="str">
        <v>Kalyan</v>
      </c>
      <c r="B27" t="str">
        <v>Mar</v>
      </c>
      <c r="C27" t="str">
        <v>West</v>
      </c>
      <c r="D27" t="str">
        <v>P2</v>
      </c>
      <c r="E27">
        <v>38386</v>
      </c>
      <c r="F27">
        <v>2687.02</v>
      </c>
      <c r="G27">
        <v>45721</v>
      </c>
      <c r="J27" t="str">
        <v>Kalyan</v>
      </c>
      <c r="M27" t="str">
        <v>West</v>
      </c>
      <c r="O27" t="str">
        <v>Shahid</v>
      </c>
      <c r="P27" t="str">
        <v>Jan</v>
      </c>
      <c r="Q27" t="str">
        <v>South</v>
      </c>
      <c r="R27" t="str">
        <v>P2</v>
      </c>
      <c r="S27">
        <v>10529</v>
      </c>
      <c r="T27">
        <v>842.32</v>
      </c>
      <c r="U27">
        <v>45674</v>
      </c>
    </row>
    <row r="28" spans="1:21" x14ac:dyDescent="0.25">
      <c r="A28" t="str">
        <v>Shahid</v>
      </c>
      <c r="B28" t="str">
        <v>Feb</v>
      </c>
      <c r="C28" t="str">
        <v>West</v>
      </c>
      <c r="D28" t="str">
        <v>P2</v>
      </c>
      <c r="E28">
        <v>27281</v>
      </c>
      <c r="F28">
        <v>5456.2</v>
      </c>
      <c r="G28">
        <v>45707</v>
      </c>
      <c r="J28" t="str">
        <v>Shahid</v>
      </c>
      <c r="M28" t="str">
        <v>West</v>
      </c>
      <c r="O28" t="str">
        <v>Kalyan</v>
      </c>
      <c r="P28" t="str">
        <v>Feb</v>
      </c>
      <c r="Q28" t="str">
        <v>Central</v>
      </c>
      <c r="R28" t="str">
        <v>P2</v>
      </c>
      <c r="S28">
        <v>14635</v>
      </c>
      <c r="T28">
        <v>3512.4</v>
      </c>
      <c r="U28">
        <v>45692</v>
      </c>
    </row>
    <row r="29" spans="1:21" x14ac:dyDescent="0.25">
      <c r="A29" t="str">
        <v>Shahid</v>
      </c>
      <c r="B29" t="str">
        <v>Jan</v>
      </c>
      <c r="C29" t="str">
        <v>East</v>
      </c>
      <c r="D29" t="str">
        <v>P2</v>
      </c>
      <c r="E29">
        <v>29384</v>
      </c>
      <c r="F29">
        <v>1763.04</v>
      </c>
      <c r="G29">
        <v>45673</v>
      </c>
      <c r="J29" t="str">
        <v>Shahid</v>
      </c>
      <c r="M29" t="str">
        <v>East</v>
      </c>
      <c r="O29" t="str">
        <v>Shahid</v>
      </c>
      <c r="P29" t="str">
        <v>Jan</v>
      </c>
      <c r="Q29" t="str">
        <v>South</v>
      </c>
      <c r="R29" t="str">
        <v>P1</v>
      </c>
      <c r="S29">
        <v>30972</v>
      </c>
      <c r="T29">
        <v>7743</v>
      </c>
      <c r="U29">
        <v>45682</v>
      </c>
    </row>
    <row r="30" spans="1:21" x14ac:dyDescent="0.25">
      <c r="A30" t="str">
        <v>Pavan</v>
      </c>
      <c r="B30" t="str">
        <v>Mar</v>
      </c>
      <c r="C30" t="str">
        <v>West</v>
      </c>
      <c r="D30" t="str">
        <v>P1</v>
      </c>
      <c r="E30">
        <v>18080</v>
      </c>
      <c r="F30">
        <v>1988.8</v>
      </c>
      <c r="G30">
        <v>45746</v>
      </c>
      <c r="J30" t="str">
        <v>Pavan</v>
      </c>
      <c r="M30" t="str">
        <v>West</v>
      </c>
      <c r="O30" t="str">
        <v>Kalyan</v>
      </c>
      <c r="P30" t="str">
        <v>Mar</v>
      </c>
      <c r="Q30" t="str">
        <v>West</v>
      </c>
      <c r="R30" t="str">
        <v>P2</v>
      </c>
      <c r="S30">
        <v>38386</v>
      </c>
      <c r="T30">
        <v>2687.02</v>
      </c>
      <c r="U30">
        <v>45721</v>
      </c>
    </row>
    <row r="31" spans="1:21" x14ac:dyDescent="0.25">
      <c r="A31" t="str">
        <v>Shahid</v>
      </c>
      <c r="B31" t="str">
        <v>Jan</v>
      </c>
      <c r="C31" t="str">
        <v>Central</v>
      </c>
      <c r="D31" t="str">
        <v>P3</v>
      </c>
      <c r="E31">
        <v>35593</v>
      </c>
      <c r="F31">
        <v>6762.67</v>
      </c>
      <c r="G31">
        <v>45660</v>
      </c>
      <c r="J31" t="str">
        <v>Shahid</v>
      </c>
      <c r="M31" t="str">
        <v>Central</v>
      </c>
      <c r="O31" t="str">
        <v>Shahid</v>
      </c>
      <c r="P31" t="str">
        <v>Feb</v>
      </c>
      <c r="Q31" t="str">
        <v>West</v>
      </c>
      <c r="R31" t="str">
        <v>P2</v>
      </c>
      <c r="S31">
        <v>27281</v>
      </c>
      <c r="T31">
        <v>5456.2</v>
      </c>
      <c r="U31">
        <v>45707</v>
      </c>
    </row>
    <row r="32" spans="1:21" x14ac:dyDescent="0.25">
      <c r="A32" t="str">
        <v>Kalyan</v>
      </c>
      <c r="B32" t="str">
        <v>Jan</v>
      </c>
      <c r="C32" t="str">
        <v>North</v>
      </c>
      <c r="D32" t="str">
        <v>P1</v>
      </c>
      <c r="E32">
        <v>33258</v>
      </c>
      <c r="F32">
        <v>2993.22</v>
      </c>
      <c r="G32">
        <v>45678</v>
      </c>
      <c r="J32" t="str">
        <v>Kalyan</v>
      </c>
      <c r="M32" t="str">
        <v>North</v>
      </c>
      <c r="O32" t="str">
        <v>Shahid</v>
      </c>
      <c r="P32" t="str">
        <v>Jan</v>
      </c>
      <c r="Q32" t="str">
        <v>East</v>
      </c>
      <c r="R32" t="str">
        <v>P2</v>
      </c>
      <c r="S32">
        <v>29384</v>
      </c>
      <c r="T32">
        <v>1763.04</v>
      </c>
      <c r="U32">
        <v>45673</v>
      </c>
    </row>
    <row r="33" spans="1:21" x14ac:dyDescent="0.25">
      <c r="A33" t="str">
        <v>Pavan</v>
      </c>
      <c r="B33" t="str">
        <v>Jan</v>
      </c>
      <c r="C33" t="str">
        <v>North</v>
      </c>
      <c r="D33" t="str">
        <v>P2</v>
      </c>
      <c r="E33">
        <v>38992</v>
      </c>
      <c r="F33">
        <v>4679.04</v>
      </c>
      <c r="G33">
        <v>45658</v>
      </c>
      <c r="J33" t="str">
        <v>Pavan</v>
      </c>
      <c r="M33" t="str">
        <v>North</v>
      </c>
      <c r="O33" t="str">
        <v>Pavan</v>
      </c>
      <c r="P33" t="str">
        <v>Mar</v>
      </c>
      <c r="Q33" t="str">
        <v>West</v>
      </c>
      <c r="R33" t="str">
        <v>P1</v>
      </c>
      <c r="S33">
        <v>18080</v>
      </c>
      <c r="T33">
        <v>1988.8</v>
      </c>
      <c r="U33">
        <v>45746</v>
      </c>
    </row>
    <row r="34" spans="1:21" x14ac:dyDescent="0.25">
      <c r="A34" t="str">
        <v>Kalyan</v>
      </c>
      <c r="B34" t="str">
        <v>Jan</v>
      </c>
      <c r="C34" t="str">
        <v>North</v>
      </c>
      <c r="D34" t="str">
        <v>P3</v>
      </c>
      <c r="E34">
        <v>13547</v>
      </c>
      <c r="F34">
        <v>1490.17</v>
      </c>
      <c r="G34">
        <v>45677</v>
      </c>
      <c r="J34" t="str">
        <v>Kalyan</v>
      </c>
      <c r="M34" t="str">
        <v>North</v>
      </c>
      <c r="O34" t="str">
        <v>Shahid</v>
      </c>
      <c r="P34" t="str">
        <v>Jan</v>
      </c>
      <c r="Q34" t="str">
        <v>Central</v>
      </c>
      <c r="R34" t="str">
        <v>P3</v>
      </c>
      <c r="S34">
        <v>35593</v>
      </c>
      <c r="T34">
        <v>6762.67</v>
      </c>
      <c r="U34">
        <v>45660</v>
      </c>
    </row>
    <row r="35" spans="1:21" x14ac:dyDescent="0.25">
      <c r="A35" t="str">
        <v>Pavan</v>
      </c>
      <c r="B35" t="str">
        <v>Jan</v>
      </c>
      <c r="C35" t="str">
        <v>East</v>
      </c>
      <c r="D35" t="str">
        <v>P2</v>
      </c>
      <c r="E35">
        <v>36092</v>
      </c>
      <c r="F35">
        <v>6857.48</v>
      </c>
      <c r="G35">
        <v>45673</v>
      </c>
      <c r="J35" t="str">
        <v>Pavan</v>
      </c>
      <c r="M35" t="str">
        <v>East</v>
      </c>
      <c r="O35" t="str">
        <v>Kalyan</v>
      </c>
      <c r="P35" t="str">
        <v>Jan</v>
      </c>
      <c r="Q35" t="str">
        <v>North</v>
      </c>
      <c r="R35" t="str">
        <v>P1</v>
      </c>
      <c r="S35">
        <v>33258</v>
      </c>
      <c r="T35">
        <v>2993.22</v>
      </c>
      <c r="U35">
        <v>45678</v>
      </c>
    </row>
    <row r="36" spans="1:21" x14ac:dyDescent="0.25">
      <c r="A36" t="str">
        <v>Aravind</v>
      </c>
      <c r="B36" t="str">
        <v>Jan</v>
      </c>
      <c r="C36" t="str">
        <v>East</v>
      </c>
      <c r="D36" t="str">
        <v>P3</v>
      </c>
      <c r="E36">
        <v>31964</v>
      </c>
      <c r="F36">
        <v>4155.32</v>
      </c>
      <c r="G36">
        <v>45665</v>
      </c>
      <c r="J36" t="str">
        <v>Aravind</v>
      </c>
      <c r="M36" t="str">
        <v>East</v>
      </c>
      <c r="O36" t="str">
        <v>Pavan</v>
      </c>
      <c r="P36" t="str">
        <v>Jan</v>
      </c>
      <c r="Q36" t="str">
        <v>North</v>
      </c>
      <c r="R36" t="str">
        <v>P2</v>
      </c>
      <c r="S36">
        <v>38992</v>
      </c>
      <c r="T36">
        <v>4679.04</v>
      </c>
      <c r="U36">
        <v>45658</v>
      </c>
    </row>
    <row r="37" spans="1:21" x14ac:dyDescent="0.25">
      <c r="A37" t="str">
        <v>Kalyan</v>
      </c>
      <c r="B37" t="str">
        <v>Jan</v>
      </c>
      <c r="C37" t="str">
        <v>West</v>
      </c>
      <c r="D37" t="str">
        <v>P1</v>
      </c>
      <c r="E37">
        <v>23710</v>
      </c>
      <c r="F37">
        <v>6164.6</v>
      </c>
      <c r="G37">
        <v>45684</v>
      </c>
      <c r="J37" t="str">
        <v>Kalyan</v>
      </c>
      <c r="M37" t="str">
        <v>West</v>
      </c>
      <c r="O37" t="str">
        <v>Kalyan</v>
      </c>
      <c r="P37" t="str">
        <v>Jan</v>
      </c>
      <c r="Q37" t="str">
        <v>North</v>
      </c>
      <c r="R37" t="str">
        <v>P3</v>
      </c>
      <c r="S37">
        <v>13547</v>
      </c>
      <c r="T37">
        <v>1490.17</v>
      </c>
      <c r="U37">
        <v>45677</v>
      </c>
    </row>
    <row r="38" spans="1:21" x14ac:dyDescent="0.25">
      <c r="A38" t="str">
        <v>Shahid</v>
      </c>
      <c r="B38" t="str">
        <v>Jan</v>
      </c>
      <c r="C38" t="str">
        <v>North</v>
      </c>
      <c r="D38" t="str">
        <v>P1</v>
      </c>
      <c r="E38">
        <v>32093</v>
      </c>
      <c r="F38">
        <v>3530.23</v>
      </c>
      <c r="G38">
        <v>45666</v>
      </c>
      <c r="J38" t="str">
        <v>Shahid</v>
      </c>
      <c r="M38" t="str">
        <v>North</v>
      </c>
      <c r="O38" t="str">
        <v>Pavan</v>
      </c>
      <c r="P38" t="str">
        <v>Jan</v>
      </c>
      <c r="Q38" t="str">
        <v>East</v>
      </c>
      <c r="R38" t="str">
        <v>P2</v>
      </c>
      <c r="S38">
        <v>36092</v>
      </c>
      <c r="T38">
        <v>6857.48</v>
      </c>
      <c r="U38">
        <v>45673</v>
      </c>
    </row>
    <row r="39" spans="1:21" x14ac:dyDescent="0.25">
      <c r="A39" t="str">
        <v>Pavan</v>
      </c>
      <c r="B39" t="str">
        <v>Jan</v>
      </c>
      <c r="C39" t="str">
        <v>Central</v>
      </c>
      <c r="D39" t="str">
        <v>P3</v>
      </c>
      <c r="E39">
        <v>28973</v>
      </c>
      <c r="F39">
        <v>6663.79</v>
      </c>
      <c r="G39">
        <v>45665</v>
      </c>
      <c r="J39" t="str">
        <v>Pavan</v>
      </c>
      <c r="M39" t="str">
        <v>Central</v>
      </c>
      <c r="O39" t="str">
        <v>Aravind</v>
      </c>
      <c r="P39" t="str">
        <v>Jan</v>
      </c>
      <c r="Q39" t="str">
        <v>East</v>
      </c>
      <c r="R39" t="str">
        <v>P3</v>
      </c>
      <c r="S39">
        <v>31964</v>
      </c>
      <c r="T39">
        <v>4155.32</v>
      </c>
      <c r="U39">
        <v>45665</v>
      </c>
    </row>
    <row r="40" spans="1:21" x14ac:dyDescent="0.25">
      <c r="A40" t="str">
        <v>Shahid</v>
      </c>
      <c r="B40" t="str">
        <v>Feb</v>
      </c>
      <c r="C40" t="str">
        <v>North</v>
      </c>
      <c r="D40" t="str">
        <v>P1</v>
      </c>
      <c r="E40">
        <v>36163</v>
      </c>
      <c r="F40">
        <v>1808.15</v>
      </c>
      <c r="G40">
        <v>45704</v>
      </c>
      <c r="J40" t="str">
        <v>Shahid</v>
      </c>
      <c r="M40" t="str">
        <v>North</v>
      </c>
      <c r="O40" t="str">
        <v>Kalyan</v>
      </c>
      <c r="P40" t="str">
        <v>Jan</v>
      </c>
      <c r="Q40" t="str">
        <v>West</v>
      </c>
      <c r="R40" t="str">
        <v>P1</v>
      </c>
      <c r="S40">
        <v>23710</v>
      </c>
      <c r="T40">
        <v>6164.6</v>
      </c>
      <c r="U40">
        <v>45684</v>
      </c>
    </row>
    <row r="41" spans="1:21" x14ac:dyDescent="0.25">
      <c r="A41" t="str">
        <v>Shahid</v>
      </c>
      <c r="B41" t="str">
        <v>Mar</v>
      </c>
      <c r="C41" t="str">
        <v>East</v>
      </c>
      <c r="D41" t="str">
        <v>P3</v>
      </c>
      <c r="E41">
        <v>37193</v>
      </c>
      <c r="F41">
        <v>8554.39</v>
      </c>
      <c r="G41">
        <v>45727</v>
      </c>
      <c r="J41" t="str">
        <v>Shahid</v>
      </c>
      <c r="M41" t="str">
        <v>East</v>
      </c>
      <c r="O41" t="str">
        <v>Shahid</v>
      </c>
      <c r="P41" t="str">
        <v>Jan</v>
      </c>
      <c r="Q41" t="str">
        <v>North</v>
      </c>
      <c r="R41" t="str">
        <v>P1</v>
      </c>
      <c r="S41">
        <v>32093</v>
      </c>
      <c r="T41">
        <v>3530.23</v>
      </c>
      <c r="U41">
        <v>45666</v>
      </c>
    </row>
    <row r="42" spans="1:21" x14ac:dyDescent="0.25">
      <c r="A42" t="str">
        <v>Aravind</v>
      </c>
      <c r="B42" t="str">
        <v>Mar</v>
      </c>
      <c r="C42" t="str">
        <v>Central</v>
      </c>
      <c r="D42" t="str">
        <v>P1</v>
      </c>
      <c r="E42">
        <v>14328</v>
      </c>
      <c r="F42">
        <v>2865.6</v>
      </c>
      <c r="G42">
        <v>45735</v>
      </c>
      <c r="J42" t="str">
        <v>Aravind</v>
      </c>
      <c r="M42" t="str">
        <v>Central</v>
      </c>
      <c r="O42" t="str">
        <v>Pavan</v>
      </c>
      <c r="P42" t="str">
        <v>Jan</v>
      </c>
      <c r="Q42" t="str">
        <v>Central</v>
      </c>
      <c r="R42" t="str">
        <v>P3</v>
      </c>
      <c r="S42">
        <v>28973</v>
      </c>
      <c r="T42">
        <v>6663.79</v>
      </c>
      <c r="U42">
        <v>45665</v>
      </c>
    </row>
    <row r="43" spans="1:21" x14ac:dyDescent="0.25">
      <c r="A43" t="str">
        <v>Pavan</v>
      </c>
      <c r="B43" t="str">
        <v>Mar</v>
      </c>
      <c r="C43" t="str">
        <v>North</v>
      </c>
      <c r="D43" t="str">
        <v>P1</v>
      </c>
      <c r="E43">
        <v>21329</v>
      </c>
      <c r="F43">
        <v>3199.35</v>
      </c>
      <c r="G43">
        <v>45720</v>
      </c>
      <c r="J43" t="str">
        <v>Pavan</v>
      </c>
      <c r="M43" t="str">
        <v>North</v>
      </c>
      <c r="O43" t="str">
        <v>Shahid</v>
      </c>
      <c r="P43" t="str">
        <v>Feb</v>
      </c>
      <c r="Q43" t="str">
        <v>North</v>
      </c>
      <c r="R43" t="str">
        <v>P1</v>
      </c>
      <c r="S43">
        <v>36163</v>
      </c>
      <c r="T43">
        <v>1808.15</v>
      </c>
      <c r="U43">
        <v>45704</v>
      </c>
    </row>
    <row r="44" spans="1:21" x14ac:dyDescent="0.25">
      <c r="A44" t="str">
        <v>Shahid</v>
      </c>
      <c r="B44" t="str">
        <v>Jan</v>
      </c>
      <c r="C44" t="str">
        <v>North</v>
      </c>
      <c r="D44" t="str">
        <v>P3</v>
      </c>
      <c r="E44">
        <v>33285</v>
      </c>
      <c r="F44">
        <v>9652.65</v>
      </c>
      <c r="G44">
        <v>45682</v>
      </c>
      <c r="J44" t="str">
        <v>Shahid</v>
      </c>
      <c r="M44" t="str">
        <v>North</v>
      </c>
      <c r="O44" t="str">
        <v>Shahid</v>
      </c>
      <c r="P44" t="str">
        <v>Mar</v>
      </c>
      <c r="Q44" t="str">
        <v>East</v>
      </c>
      <c r="R44" t="str">
        <v>P3</v>
      </c>
      <c r="S44">
        <v>37193</v>
      </c>
      <c r="T44">
        <v>8554.39</v>
      </c>
      <c r="U44">
        <v>45727</v>
      </c>
    </row>
    <row r="45" spans="1:21" x14ac:dyDescent="0.25">
      <c r="A45" t="str">
        <v>Aravind</v>
      </c>
      <c r="B45" t="str">
        <v>Jan</v>
      </c>
      <c r="C45" t="str">
        <v>North</v>
      </c>
      <c r="D45" t="str">
        <v>P2</v>
      </c>
      <c r="E45">
        <v>22592</v>
      </c>
      <c r="F45">
        <v>5648</v>
      </c>
      <c r="G45">
        <v>45685</v>
      </c>
      <c r="J45" t="str">
        <v>Aravind</v>
      </c>
      <c r="M45" t="str">
        <v>North</v>
      </c>
      <c r="O45" t="str">
        <v>Aravind</v>
      </c>
      <c r="P45" t="str">
        <v>Mar</v>
      </c>
      <c r="Q45" t="str">
        <v>Central</v>
      </c>
      <c r="R45" t="str">
        <v>P1</v>
      </c>
      <c r="S45">
        <v>14328</v>
      </c>
      <c r="T45">
        <v>2865.6</v>
      </c>
      <c r="U45">
        <v>45735</v>
      </c>
    </row>
    <row r="46" spans="1:21" x14ac:dyDescent="0.25">
      <c r="A46" t="str">
        <v>Pavan</v>
      </c>
      <c r="B46" t="str">
        <v>Mar</v>
      </c>
      <c r="C46" t="str">
        <v>South</v>
      </c>
      <c r="D46" t="str">
        <v>P1</v>
      </c>
      <c r="E46">
        <v>11690</v>
      </c>
      <c r="F46">
        <v>3273.2</v>
      </c>
      <c r="G46">
        <v>45735</v>
      </c>
      <c r="J46" t="str">
        <v>Pavan</v>
      </c>
      <c r="M46" t="str">
        <v>South</v>
      </c>
      <c r="O46" t="str">
        <v>Pavan</v>
      </c>
      <c r="P46" t="str">
        <v>Mar</v>
      </c>
      <c r="Q46" t="str">
        <v>North</v>
      </c>
      <c r="R46" t="str">
        <v>P1</v>
      </c>
      <c r="S46">
        <v>21329</v>
      </c>
      <c r="T46">
        <v>3199.35</v>
      </c>
      <c r="U46">
        <v>45720</v>
      </c>
    </row>
    <row r="47" spans="1:21" x14ac:dyDescent="0.25">
      <c r="A47" t="str">
        <v>Pavan</v>
      </c>
      <c r="B47" t="str">
        <v>Mar</v>
      </c>
      <c r="C47" t="str">
        <v>West</v>
      </c>
      <c r="D47" t="str">
        <v>P3</v>
      </c>
      <c r="E47">
        <v>18783</v>
      </c>
      <c r="F47">
        <v>4132.26</v>
      </c>
      <c r="G47">
        <v>45743</v>
      </c>
      <c r="J47" t="str">
        <v>Pavan</v>
      </c>
      <c r="M47" t="str">
        <v>West</v>
      </c>
      <c r="O47" t="str">
        <v>Shahid</v>
      </c>
      <c r="P47" t="str">
        <v>Jan</v>
      </c>
      <c r="Q47" t="str">
        <v>North</v>
      </c>
      <c r="R47" t="str">
        <v>P3</v>
      </c>
      <c r="S47">
        <v>33285</v>
      </c>
      <c r="T47">
        <v>9652.65</v>
      </c>
      <c r="U47">
        <v>45682</v>
      </c>
    </row>
    <row r="48" spans="1:21" x14ac:dyDescent="0.25">
      <c r="A48" t="str">
        <v>Kalyan</v>
      </c>
      <c r="B48" t="str">
        <v>Feb</v>
      </c>
      <c r="C48" t="str">
        <v>South</v>
      </c>
      <c r="D48" t="str">
        <v>P1</v>
      </c>
      <c r="E48">
        <v>37849</v>
      </c>
      <c r="F48">
        <v>2270.94</v>
      </c>
      <c r="G48">
        <v>45690</v>
      </c>
      <c r="J48" t="str">
        <v>Kalyan</v>
      </c>
      <c r="M48" t="str">
        <v>South</v>
      </c>
      <c r="O48" t="str">
        <v>Aravind</v>
      </c>
      <c r="P48" t="str">
        <v>Jan</v>
      </c>
      <c r="Q48" t="str">
        <v>North</v>
      </c>
      <c r="R48" t="str">
        <v>P2</v>
      </c>
      <c r="S48">
        <v>22592</v>
      </c>
      <c r="T48">
        <v>5648</v>
      </c>
      <c r="U48">
        <v>45685</v>
      </c>
    </row>
    <row r="49" spans="1:21" x14ac:dyDescent="0.25">
      <c r="A49" t="str">
        <v>Kalyan</v>
      </c>
      <c r="B49" t="str">
        <v>Feb</v>
      </c>
      <c r="C49" t="str">
        <v>East</v>
      </c>
      <c r="D49" t="str">
        <v>P3</v>
      </c>
      <c r="E49">
        <v>37548</v>
      </c>
      <c r="F49">
        <v>11264.4</v>
      </c>
      <c r="G49">
        <v>45700</v>
      </c>
      <c r="J49" t="str">
        <v>Kalyan</v>
      </c>
      <c r="M49" t="str">
        <v>East</v>
      </c>
      <c r="O49" t="str">
        <v>Pavan</v>
      </c>
      <c r="P49" t="str">
        <v>Mar</v>
      </c>
      <c r="Q49" t="str">
        <v>South</v>
      </c>
      <c r="R49" t="str">
        <v>P1</v>
      </c>
      <c r="S49">
        <v>11690</v>
      </c>
      <c r="T49">
        <v>3273.2</v>
      </c>
      <c r="U49">
        <v>45735</v>
      </c>
    </row>
    <row r="50" spans="1:21" x14ac:dyDescent="0.25">
      <c r="A50" t="str">
        <v>Aravind</v>
      </c>
      <c r="B50" t="str">
        <v>Mar</v>
      </c>
      <c r="C50" t="str">
        <v>South</v>
      </c>
      <c r="D50" t="str">
        <v>P2</v>
      </c>
      <c r="E50">
        <v>28520</v>
      </c>
      <c r="F50">
        <v>5989.2</v>
      </c>
      <c r="G50">
        <v>45726</v>
      </c>
      <c r="J50" t="str">
        <v>Aravind</v>
      </c>
      <c r="M50" t="str">
        <v>South</v>
      </c>
      <c r="O50" t="str">
        <v>Pavan</v>
      </c>
      <c r="P50" t="str">
        <v>Mar</v>
      </c>
      <c r="Q50" t="str">
        <v>West</v>
      </c>
      <c r="R50" t="str">
        <v>P3</v>
      </c>
      <c r="S50">
        <v>18783</v>
      </c>
      <c r="T50">
        <v>4132.26</v>
      </c>
      <c r="U50">
        <v>45743</v>
      </c>
    </row>
    <row r="51" spans="1:21" x14ac:dyDescent="0.25">
      <c r="A51" t="str">
        <v>Kalyan</v>
      </c>
      <c r="B51" t="str">
        <v>Feb</v>
      </c>
      <c r="C51" t="str">
        <v>South</v>
      </c>
      <c r="D51" t="str">
        <v>P3</v>
      </c>
      <c r="E51">
        <v>31125</v>
      </c>
      <c r="F51">
        <v>3735</v>
      </c>
      <c r="G51">
        <v>45712</v>
      </c>
      <c r="J51" t="str">
        <v>Kalyan</v>
      </c>
      <c r="M51" t="str">
        <v>South</v>
      </c>
      <c r="O51" t="str">
        <v>Kalyan</v>
      </c>
      <c r="P51" t="str">
        <v>Feb</v>
      </c>
      <c r="Q51" t="str">
        <v>South</v>
      </c>
      <c r="R51" t="str">
        <v>P1</v>
      </c>
      <c r="S51">
        <v>37849</v>
      </c>
      <c r="T51">
        <v>2270.94</v>
      </c>
      <c r="U51">
        <v>45690</v>
      </c>
    </row>
    <row r="52" spans="1:21" x14ac:dyDescent="0.25">
      <c r="A52" t="str">
        <v>Pavan</v>
      </c>
      <c r="B52" t="str">
        <v>Feb</v>
      </c>
      <c r="C52" t="str">
        <v>South</v>
      </c>
      <c r="D52" t="str">
        <v>P3</v>
      </c>
      <c r="E52">
        <v>33232</v>
      </c>
      <c r="F52">
        <v>4320.16</v>
      </c>
      <c r="G52">
        <v>45707</v>
      </c>
      <c r="J52" t="str">
        <v>Pavan</v>
      </c>
      <c r="M52" t="str">
        <v>South</v>
      </c>
      <c r="O52" t="str">
        <v>Kalyan</v>
      </c>
      <c r="P52" t="str">
        <v>Feb</v>
      </c>
      <c r="Q52" t="str">
        <v>East</v>
      </c>
      <c r="R52" t="str">
        <v>P3</v>
      </c>
      <c r="S52">
        <v>37548</v>
      </c>
      <c r="T52">
        <v>11264.4</v>
      </c>
      <c r="U52">
        <v>45700</v>
      </c>
    </row>
    <row r="53" spans="1:21" x14ac:dyDescent="0.25">
      <c r="A53" t="str">
        <v>Shahid</v>
      </c>
      <c r="B53" t="str">
        <v>Jan</v>
      </c>
      <c r="C53" t="str">
        <v>West</v>
      </c>
      <c r="D53" t="str">
        <v>P3</v>
      </c>
      <c r="E53">
        <v>13155</v>
      </c>
      <c r="F53">
        <v>789.3</v>
      </c>
      <c r="G53">
        <v>45680</v>
      </c>
      <c r="J53" t="str">
        <v>Shahid</v>
      </c>
      <c r="M53" t="str">
        <v>West</v>
      </c>
      <c r="O53" t="str">
        <v>Aravind</v>
      </c>
      <c r="P53" t="str">
        <v>Mar</v>
      </c>
      <c r="Q53" t="str">
        <v>South</v>
      </c>
      <c r="R53" t="str">
        <v>P2</v>
      </c>
      <c r="S53">
        <v>28520</v>
      </c>
      <c r="T53">
        <v>5989.2</v>
      </c>
      <c r="U53">
        <v>45726</v>
      </c>
    </row>
    <row r="54" spans="1:21" x14ac:dyDescent="0.25">
      <c r="A54" t="str">
        <v>Pavan</v>
      </c>
      <c r="B54" t="str">
        <v>Feb</v>
      </c>
      <c r="C54" t="str">
        <v>West</v>
      </c>
      <c r="D54" t="str">
        <v>P1</v>
      </c>
      <c r="E54">
        <v>13055</v>
      </c>
      <c r="F54">
        <v>3002.65</v>
      </c>
      <c r="G54">
        <v>45705</v>
      </c>
      <c r="J54" t="str">
        <v>Pavan</v>
      </c>
      <c r="M54" t="str">
        <v>West</v>
      </c>
      <c r="O54" t="str">
        <v>Kalyan</v>
      </c>
      <c r="P54" t="str">
        <v>Feb</v>
      </c>
      <c r="Q54" t="str">
        <v>South</v>
      </c>
      <c r="R54" t="str">
        <v>P3</v>
      </c>
      <c r="S54">
        <v>31125</v>
      </c>
      <c r="T54">
        <v>3735</v>
      </c>
      <c r="U54">
        <v>45712</v>
      </c>
    </row>
    <row r="55" spans="1:21" x14ac:dyDescent="0.25">
      <c r="A55" t="str">
        <v>Aravind</v>
      </c>
      <c r="B55" t="str">
        <v>Feb</v>
      </c>
      <c r="C55" t="str">
        <v>South</v>
      </c>
      <c r="D55" t="str">
        <v>P1</v>
      </c>
      <c r="E55">
        <v>19099</v>
      </c>
      <c r="F55">
        <v>954.95</v>
      </c>
      <c r="G55">
        <v>45691</v>
      </c>
      <c r="J55" t="str">
        <v>Aravind</v>
      </c>
      <c r="M55" t="str">
        <v>South</v>
      </c>
      <c r="O55" t="str">
        <v>Pavan</v>
      </c>
      <c r="P55" t="str">
        <v>Feb</v>
      </c>
      <c r="Q55" t="str">
        <v>South</v>
      </c>
      <c r="R55" t="str">
        <v>P3</v>
      </c>
      <c r="S55">
        <v>33232</v>
      </c>
      <c r="T55">
        <v>4320.16</v>
      </c>
      <c r="U55">
        <v>45707</v>
      </c>
    </row>
    <row r="56" spans="1:21" x14ac:dyDescent="0.25">
      <c r="A56" t="str">
        <v>Aravind</v>
      </c>
      <c r="B56" t="str">
        <v>Mar</v>
      </c>
      <c r="C56" t="str">
        <v>South</v>
      </c>
      <c r="D56" t="str">
        <v>P3</v>
      </c>
      <c r="E56">
        <v>25000</v>
      </c>
      <c r="F56">
        <v>1750</v>
      </c>
      <c r="G56">
        <v>45735</v>
      </c>
      <c r="J56" t="str">
        <v>Aravind</v>
      </c>
      <c r="M56" t="str">
        <v>South</v>
      </c>
      <c r="O56" t="str">
        <v>Shahid</v>
      </c>
      <c r="P56" t="str">
        <v>Jan</v>
      </c>
      <c r="Q56" t="str">
        <v>West</v>
      </c>
      <c r="R56" t="str">
        <v>P3</v>
      </c>
      <c r="S56">
        <v>13155</v>
      </c>
      <c r="T56">
        <v>789.3</v>
      </c>
      <c r="U56">
        <v>45680</v>
      </c>
    </row>
    <row r="57" spans="1:21" x14ac:dyDescent="0.25">
      <c r="A57" t="str">
        <v>Pavan</v>
      </c>
      <c r="B57" t="str">
        <v>Mar</v>
      </c>
      <c r="C57" t="str">
        <v>North</v>
      </c>
      <c r="D57" t="str">
        <v>P2</v>
      </c>
      <c r="E57">
        <v>26388</v>
      </c>
      <c r="F57">
        <v>2111.04</v>
      </c>
      <c r="G57">
        <v>45741</v>
      </c>
      <c r="J57" t="str">
        <v>Pavan</v>
      </c>
      <c r="M57" t="str">
        <v>North</v>
      </c>
      <c r="O57" t="str">
        <v>Pavan</v>
      </c>
      <c r="P57" t="str">
        <v>Feb</v>
      </c>
      <c r="Q57" t="str">
        <v>West</v>
      </c>
      <c r="R57" t="str">
        <v>P1</v>
      </c>
      <c r="S57">
        <v>13055</v>
      </c>
      <c r="T57">
        <v>3002.65</v>
      </c>
      <c r="U57">
        <v>45705</v>
      </c>
    </row>
    <row r="58" spans="1:21" x14ac:dyDescent="0.25">
      <c r="A58" t="str">
        <v>Aravind</v>
      </c>
      <c r="B58" t="str">
        <v>Mar</v>
      </c>
      <c r="C58" t="str">
        <v>West</v>
      </c>
      <c r="D58" t="str">
        <v>P1</v>
      </c>
      <c r="E58">
        <v>24126</v>
      </c>
      <c r="F58">
        <v>3618.9</v>
      </c>
      <c r="G58">
        <v>45723</v>
      </c>
      <c r="J58" t="str">
        <v>Aravind</v>
      </c>
      <c r="M58" t="str">
        <v>West</v>
      </c>
      <c r="O58" t="str">
        <v>Aravind</v>
      </c>
      <c r="P58" t="str">
        <v>Feb</v>
      </c>
      <c r="Q58" t="str">
        <v>South</v>
      </c>
      <c r="R58" t="str">
        <v>P1</v>
      </c>
      <c r="S58">
        <v>19099</v>
      </c>
      <c r="T58">
        <v>954.95</v>
      </c>
      <c r="U58">
        <v>45691</v>
      </c>
    </row>
    <row r="59" spans="1:21" x14ac:dyDescent="0.25">
      <c r="A59" t="str">
        <v>Pavan</v>
      </c>
      <c r="B59" t="str">
        <v>Jan</v>
      </c>
      <c r="C59" t="str">
        <v>Central</v>
      </c>
      <c r="D59" t="str">
        <v>P1</v>
      </c>
      <c r="E59">
        <v>32605</v>
      </c>
      <c r="F59">
        <v>9781.5</v>
      </c>
      <c r="G59">
        <v>45681</v>
      </c>
      <c r="J59" t="str">
        <v>Pavan</v>
      </c>
      <c r="M59" t="str">
        <v>Central</v>
      </c>
      <c r="O59" t="str">
        <v>Aravind</v>
      </c>
      <c r="P59" t="str">
        <v>Mar</v>
      </c>
      <c r="Q59" t="str">
        <v>South</v>
      </c>
      <c r="R59" t="str">
        <v>P3</v>
      </c>
      <c r="S59">
        <v>25000</v>
      </c>
      <c r="T59">
        <v>1750</v>
      </c>
      <c r="U59">
        <v>45735</v>
      </c>
    </row>
    <row r="60" spans="1:21" x14ac:dyDescent="0.25">
      <c r="A60" t="str">
        <v>Aravind</v>
      </c>
      <c r="B60" t="str">
        <v>Feb</v>
      </c>
      <c r="C60" t="str">
        <v>North</v>
      </c>
      <c r="D60" t="str">
        <v>P2</v>
      </c>
      <c r="E60">
        <v>35157</v>
      </c>
      <c r="F60">
        <v>5625.12</v>
      </c>
      <c r="G60">
        <v>45701</v>
      </c>
      <c r="J60" t="str">
        <v>Aravind</v>
      </c>
      <c r="M60" t="str">
        <v>North</v>
      </c>
      <c r="O60" t="str">
        <v>Pavan</v>
      </c>
      <c r="P60" t="str">
        <v>Mar</v>
      </c>
      <c r="Q60" t="str">
        <v>North</v>
      </c>
      <c r="R60" t="str">
        <v>P2</v>
      </c>
      <c r="S60">
        <v>26388</v>
      </c>
      <c r="T60">
        <v>2111.04</v>
      </c>
      <c r="U60">
        <v>45741</v>
      </c>
    </row>
    <row r="61" spans="1:21" x14ac:dyDescent="0.25">
      <c r="A61" t="str">
        <v>Shahid</v>
      </c>
      <c r="B61" t="str">
        <v>Mar</v>
      </c>
      <c r="C61" t="str">
        <v>Central</v>
      </c>
      <c r="D61" t="str">
        <v>P3</v>
      </c>
      <c r="E61">
        <v>26938</v>
      </c>
      <c r="F61">
        <v>4310.08</v>
      </c>
      <c r="G61">
        <v>45729</v>
      </c>
      <c r="J61" t="str">
        <v>Shahid</v>
      </c>
      <c r="M61" t="str">
        <v>Central</v>
      </c>
      <c r="O61" t="str">
        <v>Aravind</v>
      </c>
      <c r="P61" t="str">
        <v>Mar</v>
      </c>
      <c r="Q61" t="str">
        <v>West</v>
      </c>
      <c r="R61" t="str">
        <v>P1</v>
      </c>
      <c r="S61">
        <v>24126</v>
      </c>
      <c r="T61">
        <v>3618.9</v>
      </c>
      <c r="U61">
        <v>45723</v>
      </c>
    </row>
    <row r="62" spans="1:21" x14ac:dyDescent="0.25">
      <c r="A62" t="str">
        <v>Shahid</v>
      </c>
      <c r="B62" t="str">
        <v>Feb</v>
      </c>
      <c r="C62" t="str">
        <v>North</v>
      </c>
      <c r="D62" t="str">
        <v>P3</v>
      </c>
      <c r="E62">
        <v>23140</v>
      </c>
      <c r="F62">
        <v>3239.6</v>
      </c>
      <c r="G62">
        <v>45712</v>
      </c>
      <c r="J62" t="str">
        <v>Shahid</v>
      </c>
      <c r="M62" t="str">
        <v>North</v>
      </c>
      <c r="O62" t="str">
        <v>Pavan</v>
      </c>
      <c r="P62" t="str">
        <v>Jan</v>
      </c>
      <c r="Q62" t="str">
        <v>Central</v>
      </c>
      <c r="R62" t="str">
        <v>P1</v>
      </c>
      <c r="S62">
        <v>32605</v>
      </c>
      <c r="T62">
        <v>9781.5</v>
      </c>
      <c r="U62">
        <v>45681</v>
      </c>
    </row>
    <row r="63" spans="1:21" x14ac:dyDescent="0.25">
      <c r="A63" t="str">
        <v>Aravind</v>
      </c>
      <c r="B63" t="str">
        <v>Mar</v>
      </c>
      <c r="C63" t="str">
        <v>West</v>
      </c>
      <c r="D63" t="str">
        <v>P1</v>
      </c>
      <c r="E63">
        <v>39711</v>
      </c>
      <c r="F63">
        <v>6353.76</v>
      </c>
      <c r="G63">
        <v>45741</v>
      </c>
      <c r="J63" t="str">
        <v>Aravind</v>
      </c>
      <c r="M63" t="str">
        <v>West</v>
      </c>
      <c r="O63" t="str">
        <v>Aravind</v>
      </c>
      <c r="P63" t="str">
        <v>Feb</v>
      </c>
      <c r="Q63" t="str">
        <v>North</v>
      </c>
      <c r="R63" t="str">
        <v>P2</v>
      </c>
      <c r="S63">
        <v>35157</v>
      </c>
      <c r="T63">
        <v>5625.12</v>
      </c>
      <c r="U63">
        <v>45701</v>
      </c>
    </row>
    <row r="64" spans="1:21" x14ac:dyDescent="0.25">
      <c r="A64" t="str">
        <v>Aravind</v>
      </c>
      <c r="B64" t="str">
        <v>Jan</v>
      </c>
      <c r="C64" t="str">
        <v>North</v>
      </c>
      <c r="D64" t="str">
        <v>P3</v>
      </c>
      <c r="E64">
        <v>22840</v>
      </c>
      <c r="F64">
        <v>5481.6</v>
      </c>
      <c r="G64">
        <v>45671</v>
      </c>
      <c r="J64" t="str">
        <v>Aravind</v>
      </c>
      <c r="M64" t="str">
        <v>North</v>
      </c>
      <c r="O64" t="str">
        <v>Shahid</v>
      </c>
      <c r="P64" t="str">
        <v>Mar</v>
      </c>
      <c r="Q64" t="str">
        <v>Central</v>
      </c>
      <c r="R64" t="str">
        <v>P3</v>
      </c>
      <c r="S64">
        <v>26938</v>
      </c>
      <c r="T64">
        <v>4310.08</v>
      </c>
      <c r="U64">
        <v>45729</v>
      </c>
    </row>
    <row r="65" spans="1:21" x14ac:dyDescent="0.25">
      <c r="A65" t="str">
        <v>Kalyan</v>
      </c>
      <c r="B65" t="str">
        <v>Feb</v>
      </c>
      <c r="C65" t="str">
        <v>South</v>
      </c>
      <c r="D65" t="str">
        <v>P1</v>
      </c>
      <c r="E65">
        <v>24033</v>
      </c>
      <c r="F65">
        <v>6488.91</v>
      </c>
      <c r="G65">
        <v>45696</v>
      </c>
      <c r="J65" t="str">
        <v>Kalyan</v>
      </c>
      <c r="M65" t="str">
        <v>South</v>
      </c>
      <c r="O65" t="str">
        <v>Shahid</v>
      </c>
      <c r="P65" t="str">
        <v>Feb</v>
      </c>
      <c r="Q65" t="str">
        <v>North</v>
      </c>
      <c r="R65" t="str">
        <v>P3</v>
      </c>
      <c r="S65">
        <v>23140</v>
      </c>
      <c r="T65">
        <v>3239.6</v>
      </c>
      <c r="U65">
        <v>45712</v>
      </c>
    </row>
    <row r="66" spans="1:21" x14ac:dyDescent="0.25">
      <c r="A66" t="str">
        <v>Pavan</v>
      </c>
      <c r="B66" t="str">
        <v>Jan</v>
      </c>
      <c r="C66" t="str">
        <v>Central</v>
      </c>
      <c r="D66" t="str">
        <v>P3</v>
      </c>
      <c r="E66">
        <v>19320</v>
      </c>
      <c r="F66">
        <v>2704.8</v>
      </c>
      <c r="G66">
        <v>45679</v>
      </c>
      <c r="J66" t="str">
        <v>Pavan</v>
      </c>
      <c r="M66" t="str">
        <v>Central</v>
      </c>
      <c r="O66" t="str">
        <v>Aravind</v>
      </c>
      <c r="P66" t="str">
        <v>Mar</v>
      </c>
      <c r="Q66" t="str">
        <v>West</v>
      </c>
      <c r="R66" t="str">
        <v>P1</v>
      </c>
      <c r="S66">
        <v>39711</v>
      </c>
      <c r="T66">
        <v>6353.76</v>
      </c>
      <c r="U66">
        <v>45741</v>
      </c>
    </row>
    <row r="67" spans="1:21" x14ac:dyDescent="0.25">
      <c r="A67" t="str">
        <v>Shahid</v>
      </c>
      <c r="B67" t="str">
        <v>Feb</v>
      </c>
      <c r="C67" t="str">
        <v>East</v>
      </c>
      <c r="D67" t="str">
        <v>P1</v>
      </c>
      <c r="E67">
        <v>25551</v>
      </c>
      <c r="F67">
        <v>1788.57</v>
      </c>
      <c r="G67">
        <v>45694</v>
      </c>
      <c r="J67" t="str">
        <v>Shahid</v>
      </c>
      <c r="M67" t="str">
        <v>East</v>
      </c>
      <c r="O67" t="str">
        <v>Aravind</v>
      </c>
      <c r="P67" t="str">
        <v>Jan</v>
      </c>
      <c r="Q67" t="str">
        <v>North</v>
      </c>
      <c r="R67" t="str">
        <v>P3</v>
      </c>
      <c r="S67">
        <v>22840</v>
      </c>
      <c r="T67">
        <v>5481.6</v>
      </c>
      <c r="U67">
        <v>45671</v>
      </c>
    </row>
    <row r="68" spans="1:21" x14ac:dyDescent="0.25">
      <c r="A68" t="str">
        <v>Kalyan</v>
      </c>
      <c r="B68" t="str">
        <v>Mar</v>
      </c>
      <c r="C68" t="str">
        <v>South</v>
      </c>
      <c r="D68" t="str">
        <v>P2</v>
      </c>
      <c r="E68">
        <v>38869</v>
      </c>
      <c r="F68">
        <v>10883.32</v>
      </c>
      <c r="G68">
        <v>45736</v>
      </c>
      <c r="J68" t="str">
        <v>Kalyan</v>
      </c>
      <c r="M68" t="str">
        <v>South</v>
      </c>
      <c r="O68" t="str">
        <v>Kalyan</v>
      </c>
      <c r="P68" t="str">
        <v>Feb</v>
      </c>
      <c r="Q68" t="str">
        <v>South</v>
      </c>
      <c r="R68" t="str">
        <v>P1</v>
      </c>
      <c r="S68">
        <v>24033</v>
      </c>
      <c r="T68">
        <v>6488.91</v>
      </c>
      <c r="U68">
        <v>45696</v>
      </c>
    </row>
    <row r="69" spans="1:21" x14ac:dyDescent="0.25">
      <c r="A69" t="str">
        <v>Pavan</v>
      </c>
      <c r="B69" t="str">
        <v>Jan</v>
      </c>
      <c r="C69" t="str">
        <v>North</v>
      </c>
      <c r="D69" t="str">
        <v>P2</v>
      </c>
      <c r="E69">
        <v>14854</v>
      </c>
      <c r="F69">
        <v>3564.96</v>
      </c>
      <c r="G69">
        <v>45681</v>
      </c>
      <c r="J69" t="str">
        <v>Pavan</v>
      </c>
      <c r="M69" t="str">
        <v>North</v>
      </c>
      <c r="O69" t="str">
        <v>Pavan</v>
      </c>
      <c r="P69" t="str">
        <v>Jan</v>
      </c>
      <c r="Q69" t="str">
        <v>Central</v>
      </c>
      <c r="R69" t="str">
        <v>P3</v>
      </c>
      <c r="S69">
        <v>19320</v>
      </c>
      <c r="T69">
        <v>2704.8</v>
      </c>
      <c r="U69">
        <v>45679</v>
      </c>
    </row>
    <row r="70" spans="1:21" x14ac:dyDescent="0.25">
      <c r="A70" t="str">
        <v>Shahid</v>
      </c>
      <c r="B70" t="str">
        <v>Jan</v>
      </c>
      <c r="C70" t="str">
        <v>South</v>
      </c>
      <c r="D70" t="str">
        <v>P2</v>
      </c>
      <c r="E70">
        <v>36652</v>
      </c>
      <c r="F70">
        <v>2932.16</v>
      </c>
      <c r="G70">
        <v>45674</v>
      </c>
      <c r="J70" t="str">
        <v>Shahid</v>
      </c>
      <c r="M70" t="str">
        <v>South</v>
      </c>
      <c r="O70" t="str">
        <v>Shahid</v>
      </c>
      <c r="P70" t="str">
        <v>Feb</v>
      </c>
      <c r="Q70" t="str">
        <v>East</v>
      </c>
      <c r="R70" t="str">
        <v>P1</v>
      </c>
      <c r="S70">
        <v>25551</v>
      </c>
      <c r="T70">
        <v>1788.57</v>
      </c>
      <c r="U70">
        <v>45694</v>
      </c>
    </row>
    <row r="71" spans="1:21" x14ac:dyDescent="0.25">
      <c r="A71" t="str">
        <v>Pavan</v>
      </c>
      <c r="B71" t="str">
        <v>Mar</v>
      </c>
      <c r="C71" t="str">
        <v>East</v>
      </c>
      <c r="D71" t="str">
        <v>P2</v>
      </c>
      <c r="E71">
        <v>24629</v>
      </c>
      <c r="F71">
        <v>5172.09</v>
      </c>
      <c r="G71">
        <v>45727</v>
      </c>
      <c r="J71" t="str">
        <v>Pavan</v>
      </c>
      <c r="M71" t="str">
        <v>East</v>
      </c>
      <c r="O71" t="str">
        <v>Kalyan</v>
      </c>
      <c r="P71" t="str">
        <v>Mar</v>
      </c>
      <c r="Q71" t="str">
        <v>South</v>
      </c>
      <c r="R71" t="str">
        <v>P2</v>
      </c>
      <c r="S71">
        <v>38869</v>
      </c>
      <c r="T71">
        <v>10883.32</v>
      </c>
      <c r="U71">
        <v>45736</v>
      </c>
    </row>
    <row r="72" spans="1:21" x14ac:dyDescent="0.25">
      <c r="A72" t="str">
        <v>Aravind</v>
      </c>
      <c r="B72" t="str">
        <v>Feb</v>
      </c>
      <c r="C72" t="str">
        <v>North</v>
      </c>
      <c r="D72" t="str">
        <v>P1</v>
      </c>
      <c r="E72">
        <v>13625</v>
      </c>
      <c r="F72">
        <v>3951.25</v>
      </c>
      <c r="G72">
        <v>45699</v>
      </c>
      <c r="J72" t="str">
        <v>Aravind</v>
      </c>
      <c r="M72" t="str">
        <v>North</v>
      </c>
      <c r="O72" t="str">
        <v>Pavan</v>
      </c>
      <c r="P72" t="str">
        <v>Jan</v>
      </c>
      <c r="Q72" t="str">
        <v>North</v>
      </c>
      <c r="R72" t="str">
        <v>P2</v>
      </c>
      <c r="S72">
        <v>14854</v>
      </c>
      <c r="T72">
        <v>3564.96</v>
      </c>
      <c r="U72">
        <v>45681</v>
      </c>
    </row>
    <row r="73" spans="1:21" x14ac:dyDescent="0.25">
      <c r="A73" t="str">
        <v>Kalyan</v>
      </c>
      <c r="B73" t="str">
        <v>Mar</v>
      </c>
      <c r="C73" t="str">
        <v>Central</v>
      </c>
      <c r="D73" t="str">
        <v>P2</v>
      </c>
      <c r="E73">
        <v>22739</v>
      </c>
      <c r="F73">
        <v>3410.85</v>
      </c>
      <c r="G73">
        <v>45719</v>
      </c>
      <c r="J73" t="str">
        <v>Kalyan</v>
      </c>
      <c r="M73" t="str">
        <v>Central</v>
      </c>
      <c r="O73" t="str">
        <v>Shahid</v>
      </c>
      <c r="P73" t="str">
        <v>Jan</v>
      </c>
      <c r="Q73" t="str">
        <v>South</v>
      </c>
      <c r="R73" t="str">
        <v>P2</v>
      </c>
      <c r="S73">
        <v>36652</v>
      </c>
      <c r="T73">
        <v>2932.16</v>
      </c>
      <c r="U73">
        <v>45674</v>
      </c>
    </row>
    <row r="74" spans="1:21" x14ac:dyDescent="0.25">
      <c r="A74" t="str">
        <v>Pavan</v>
      </c>
      <c r="B74" t="str">
        <v>Mar</v>
      </c>
      <c r="C74" t="str">
        <v>West</v>
      </c>
      <c r="D74" t="str">
        <v>P3</v>
      </c>
      <c r="E74">
        <v>11493</v>
      </c>
      <c r="F74">
        <v>2758.32</v>
      </c>
      <c r="G74">
        <v>45744</v>
      </c>
      <c r="J74" t="str">
        <v>Pavan</v>
      </c>
      <c r="M74" t="str">
        <v>West</v>
      </c>
      <c r="O74" t="str">
        <v>Pavan</v>
      </c>
      <c r="P74" t="str">
        <v>Mar</v>
      </c>
      <c r="Q74" t="str">
        <v>East</v>
      </c>
      <c r="R74" t="str">
        <v>P2</v>
      </c>
      <c r="S74">
        <v>24629</v>
      </c>
      <c r="T74">
        <v>5172.09</v>
      </c>
      <c r="U74">
        <v>45727</v>
      </c>
    </row>
    <row r="75" spans="1:21" x14ac:dyDescent="0.25">
      <c r="A75" t="str">
        <v>Aravind</v>
      </c>
      <c r="B75" t="str">
        <v>Jan</v>
      </c>
      <c r="C75" t="str">
        <v>South</v>
      </c>
      <c r="D75" t="str">
        <v>P2</v>
      </c>
      <c r="E75">
        <v>24712</v>
      </c>
      <c r="F75">
        <v>2965.44</v>
      </c>
      <c r="G75">
        <v>45680</v>
      </c>
      <c r="J75" t="str">
        <v>Aravind</v>
      </c>
      <c r="M75" t="str">
        <v>South</v>
      </c>
      <c r="O75" t="str">
        <v>Aravind</v>
      </c>
      <c r="P75" t="str">
        <v>Feb</v>
      </c>
      <c r="Q75" t="str">
        <v>North</v>
      </c>
      <c r="R75" t="str">
        <v>P1</v>
      </c>
      <c r="S75">
        <v>13625</v>
      </c>
      <c r="T75">
        <v>3951.25</v>
      </c>
      <c r="U75">
        <v>45699</v>
      </c>
    </row>
    <row r="76" spans="1:21" x14ac:dyDescent="0.25">
      <c r="A76" t="str">
        <v>Kalyan</v>
      </c>
      <c r="B76" t="str">
        <v>Jan</v>
      </c>
      <c r="C76" t="str">
        <v>West</v>
      </c>
      <c r="D76" t="str">
        <v>P3</v>
      </c>
      <c r="E76">
        <v>28703</v>
      </c>
      <c r="F76">
        <v>5166.54</v>
      </c>
      <c r="G76">
        <v>45680</v>
      </c>
      <c r="J76" t="str">
        <v>Kalyan</v>
      </c>
      <c r="M76" t="str">
        <v>West</v>
      </c>
      <c r="O76" t="str">
        <v>Kalyan</v>
      </c>
      <c r="P76" t="str">
        <v>Mar</v>
      </c>
      <c r="Q76" t="str">
        <v>Central</v>
      </c>
      <c r="R76" t="str">
        <v>P2</v>
      </c>
      <c r="S76">
        <v>22739</v>
      </c>
      <c r="T76">
        <v>3410.85</v>
      </c>
      <c r="U76">
        <v>45719</v>
      </c>
    </row>
    <row r="77" spans="1:21" x14ac:dyDescent="0.25">
      <c r="A77" t="str">
        <v>Pavan</v>
      </c>
      <c r="B77" t="str">
        <v>Mar</v>
      </c>
      <c r="C77" t="str">
        <v>South</v>
      </c>
      <c r="D77" t="str">
        <v>P3</v>
      </c>
      <c r="E77">
        <v>13629</v>
      </c>
      <c r="F77">
        <v>3952.41</v>
      </c>
      <c r="G77">
        <v>45741</v>
      </c>
      <c r="J77" t="str">
        <v>Pavan</v>
      </c>
      <c r="M77" t="str">
        <v>South</v>
      </c>
      <c r="O77" t="str">
        <v>Pavan</v>
      </c>
      <c r="P77" t="str">
        <v>Mar</v>
      </c>
      <c r="Q77" t="str">
        <v>West</v>
      </c>
      <c r="R77" t="str">
        <v>P3</v>
      </c>
      <c r="S77">
        <v>11493</v>
      </c>
      <c r="T77">
        <v>2758.32</v>
      </c>
      <c r="U77">
        <v>45744</v>
      </c>
    </row>
    <row r="78" spans="1:21" x14ac:dyDescent="0.25">
      <c r="A78" t="str">
        <v>Aravind</v>
      </c>
      <c r="B78" t="str">
        <v>Jan</v>
      </c>
      <c r="C78" t="str">
        <v>North</v>
      </c>
      <c r="D78" t="str">
        <v>P3</v>
      </c>
      <c r="E78">
        <v>11055</v>
      </c>
      <c r="F78">
        <v>2321.5500000000002</v>
      </c>
      <c r="G78">
        <v>45665</v>
      </c>
      <c r="J78" t="str">
        <v>Aravind</v>
      </c>
      <c r="M78" t="str">
        <v>North</v>
      </c>
      <c r="O78" t="str">
        <v>Aravind</v>
      </c>
      <c r="P78" t="str">
        <v>Jan</v>
      </c>
      <c r="Q78" t="str">
        <v>South</v>
      </c>
      <c r="R78" t="str">
        <v>P2</v>
      </c>
      <c r="S78">
        <v>24712</v>
      </c>
      <c r="T78">
        <v>2965.44</v>
      </c>
      <c r="U78">
        <v>45680</v>
      </c>
    </row>
    <row r="79" spans="1:21" x14ac:dyDescent="0.25">
      <c r="A79" t="str">
        <v>Kalyan</v>
      </c>
      <c r="B79" t="str">
        <v>Mar</v>
      </c>
      <c r="C79" t="str">
        <v>South</v>
      </c>
      <c r="D79" t="str">
        <v>P1</v>
      </c>
      <c r="E79">
        <v>25933</v>
      </c>
      <c r="F79">
        <v>3889.95</v>
      </c>
      <c r="G79">
        <v>45742</v>
      </c>
      <c r="J79" t="str">
        <v>Kalyan</v>
      </c>
      <c r="M79" t="str">
        <v>South</v>
      </c>
      <c r="O79" t="str">
        <v>Kalyan</v>
      </c>
      <c r="P79" t="str">
        <v>Jan</v>
      </c>
      <c r="Q79" t="str">
        <v>West</v>
      </c>
      <c r="R79" t="str">
        <v>P3</v>
      </c>
      <c r="S79">
        <v>28703</v>
      </c>
      <c r="T79">
        <v>5166.54</v>
      </c>
      <c r="U79">
        <v>45680</v>
      </c>
    </row>
    <row r="80" spans="1:21" x14ac:dyDescent="0.25">
      <c r="A80" t="str">
        <v>Aravind</v>
      </c>
      <c r="B80" t="str">
        <v>Feb</v>
      </c>
      <c r="C80" t="str">
        <v>East</v>
      </c>
      <c r="D80" t="str">
        <v>P1</v>
      </c>
      <c r="E80">
        <v>16795</v>
      </c>
      <c r="F80">
        <v>2519.25</v>
      </c>
      <c r="G80">
        <v>45694</v>
      </c>
      <c r="J80" t="str">
        <v>Aravind</v>
      </c>
      <c r="M80" t="str">
        <v>East</v>
      </c>
      <c r="O80" t="str">
        <v>Pavan</v>
      </c>
      <c r="P80" t="str">
        <v>Mar</v>
      </c>
      <c r="Q80" t="str">
        <v>South</v>
      </c>
      <c r="R80" t="str">
        <v>P3</v>
      </c>
      <c r="S80">
        <v>13629</v>
      </c>
      <c r="T80">
        <v>3952.41</v>
      </c>
      <c r="U80">
        <v>45741</v>
      </c>
    </row>
    <row r="81" spans="1:21" x14ac:dyDescent="0.25">
      <c r="A81" t="str">
        <v>Kalyan</v>
      </c>
      <c r="B81" t="str">
        <v>Feb</v>
      </c>
      <c r="C81" t="str">
        <v>East</v>
      </c>
      <c r="D81" t="str">
        <v>P1</v>
      </c>
      <c r="E81">
        <v>30424</v>
      </c>
      <c r="F81">
        <v>1825.44</v>
      </c>
      <c r="G81">
        <v>45706</v>
      </c>
      <c r="J81" t="str">
        <v>Kalyan</v>
      </c>
      <c r="M81" t="str">
        <v>East</v>
      </c>
      <c r="O81" t="str">
        <v>Aravind</v>
      </c>
      <c r="P81" t="str">
        <v>Jan</v>
      </c>
      <c r="Q81" t="str">
        <v>North</v>
      </c>
      <c r="R81" t="str">
        <v>P3</v>
      </c>
      <c r="S81">
        <v>11055</v>
      </c>
      <c r="T81">
        <v>2321.5500000000002</v>
      </c>
      <c r="U81">
        <v>45665</v>
      </c>
    </row>
    <row r="82" spans="1:21" x14ac:dyDescent="0.25">
      <c r="A82" t="str">
        <v>Aravind</v>
      </c>
      <c r="B82" t="str">
        <v>Feb</v>
      </c>
      <c r="C82" t="str">
        <v>South</v>
      </c>
      <c r="D82" t="str">
        <v>P2</v>
      </c>
      <c r="E82">
        <v>15588</v>
      </c>
      <c r="F82">
        <v>3273.48</v>
      </c>
      <c r="G82">
        <v>45713</v>
      </c>
      <c r="J82" t="str">
        <v>Aravind</v>
      </c>
      <c r="M82" t="str">
        <v>South</v>
      </c>
      <c r="O82" t="str">
        <v>Kalyan</v>
      </c>
      <c r="P82" t="str">
        <v>Mar</v>
      </c>
      <c r="Q82" t="str">
        <v>South</v>
      </c>
      <c r="R82" t="str">
        <v>P1</v>
      </c>
      <c r="S82">
        <v>25933</v>
      </c>
      <c r="T82">
        <v>3889.95</v>
      </c>
      <c r="U82">
        <v>45742</v>
      </c>
    </row>
    <row r="83" spans="1:21" x14ac:dyDescent="0.25">
      <c r="A83" t="str">
        <v>Kalyan</v>
      </c>
      <c r="B83" t="str">
        <v>Mar</v>
      </c>
      <c r="C83" t="str">
        <v>West</v>
      </c>
      <c r="D83" t="str">
        <v>P1</v>
      </c>
      <c r="E83">
        <v>20278</v>
      </c>
      <c r="F83">
        <v>4866.72</v>
      </c>
      <c r="G83">
        <v>45741</v>
      </c>
      <c r="J83" t="str">
        <v>Kalyan</v>
      </c>
      <c r="M83" t="str">
        <v>West</v>
      </c>
      <c r="O83" t="str">
        <v>Aravind</v>
      </c>
      <c r="P83" t="str">
        <v>Feb</v>
      </c>
      <c r="Q83" t="str">
        <v>East</v>
      </c>
      <c r="R83" t="str">
        <v>P1</v>
      </c>
      <c r="S83">
        <v>16795</v>
      </c>
      <c r="T83">
        <v>2519.25</v>
      </c>
      <c r="U83">
        <v>45694</v>
      </c>
    </row>
    <row r="84" spans="1:21" x14ac:dyDescent="0.25">
      <c r="A84" t="str">
        <v>Kalyan</v>
      </c>
      <c r="B84" t="str">
        <v>Jan</v>
      </c>
      <c r="C84" t="str">
        <v>South</v>
      </c>
      <c r="D84" t="str">
        <v>P3</v>
      </c>
      <c r="E84">
        <v>29389</v>
      </c>
      <c r="F84">
        <v>8228.92</v>
      </c>
      <c r="G84">
        <v>45684</v>
      </c>
      <c r="J84" t="str">
        <v>Kalyan</v>
      </c>
      <c r="M84" t="str">
        <v>South</v>
      </c>
      <c r="O84" t="str">
        <v>Kalyan</v>
      </c>
      <c r="P84" t="str">
        <v>Feb</v>
      </c>
      <c r="Q84" t="str">
        <v>East</v>
      </c>
      <c r="R84" t="str">
        <v>P1</v>
      </c>
      <c r="S84">
        <v>30424</v>
      </c>
      <c r="T84">
        <v>1825.44</v>
      </c>
      <c r="U84">
        <v>45706</v>
      </c>
    </row>
    <row r="85" spans="1:21" x14ac:dyDescent="0.25">
      <c r="A85" t="str">
        <v>Shahid</v>
      </c>
      <c r="B85" t="str">
        <v>Mar</v>
      </c>
      <c r="C85" t="str">
        <v>West</v>
      </c>
      <c r="D85" t="str">
        <v>P2</v>
      </c>
      <c r="E85">
        <v>26750</v>
      </c>
      <c r="F85">
        <v>1605</v>
      </c>
      <c r="G85">
        <v>45726</v>
      </c>
      <c r="J85" t="str">
        <v>Shahid</v>
      </c>
      <c r="M85" t="str">
        <v>West</v>
      </c>
      <c r="O85" t="str">
        <v>Aravind</v>
      </c>
      <c r="P85" t="str">
        <v>Feb</v>
      </c>
      <c r="Q85" t="str">
        <v>South</v>
      </c>
      <c r="R85" t="str">
        <v>P2</v>
      </c>
      <c r="S85">
        <v>15588</v>
      </c>
      <c r="T85">
        <v>3273.48</v>
      </c>
      <c r="U85">
        <v>45713</v>
      </c>
    </row>
    <row r="86" spans="1:21" x14ac:dyDescent="0.25">
      <c r="A86" t="str">
        <v>Shahid</v>
      </c>
      <c r="B86" t="str">
        <v>Mar</v>
      </c>
      <c r="C86" t="str">
        <v>Central</v>
      </c>
      <c r="D86" t="str">
        <v>P1</v>
      </c>
      <c r="E86">
        <v>36699</v>
      </c>
      <c r="F86">
        <v>4403.88</v>
      </c>
      <c r="G86">
        <v>45728</v>
      </c>
      <c r="J86" t="str">
        <v>Shahid</v>
      </c>
      <c r="M86" t="str">
        <v>Central</v>
      </c>
      <c r="O86" t="str">
        <v>Kalyan</v>
      </c>
      <c r="P86" t="str">
        <v>Mar</v>
      </c>
      <c r="Q86" t="str">
        <v>West</v>
      </c>
      <c r="R86" t="str">
        <v>P1</v>
      </c>
      <c r="S86">
        <v>20278</v>
      </c>
      <c r="T86">
        <v>4866.72</v>
      </c>
      <c r="U86">
        <v>45741</v>
      </c>
    </row>
    <row r="87" spans="1:21" x14ac:dyDescent="0.25">
      <c r="A87" t="str">
        <v>Aravind</v>
      </c>
      <c r="B87" t="str">
        <v>Feb</v>
      </c>
      <c r="C87" t="str">
        <v>North</v>
      </c>
      <c r="D87" t="str">
        <v>P1</v>
      </c>
      <c r="E87">
        <v>29281</v>
      </c>
      <c r="F87">
        <v>1756.86</v>
      </c>
      <c r="G87">
        <v>45695</v>
      </c>
      <c r="J87" t="str">
        <v>Aravind</v>
      </c>
      <c r="M87" t="str">
        <v>North</v>
      </c>
      <c r="O87" t="str">
        <v>Kalyan</v>
      </c>
      <c r="P87" t="str">
        <v>Jan</v>
      </c>
      <c r="Q87" t="str">
        <v>South</v>
      </c>
      <c r="R87" t="str">
        <v>P3</v>
      </c>
      <c r="S87">
        <v>29389</v>
      </c>
      <c r="T87">
        <v>8228.92</v>
      </c>
      <c r="U87">
        <v>45684</v>
      </c>
    </row>
    <row r="88" spans="1:21" x14ac:dyDescent="0.25">
      <c r="A88" t="str">
        <v>Aravind</v>
      </c>
      <c r="B88" t="str">
        <v>Jan</v>
      </c>
      <c r="C88" t="str">
        <v>Central</v>
      </c>
      <c r="D88" t="str">
        <v>P1</v>
      </c>
      <c r="E88">
        <v>19361</v>
      </c>
      <c r="F88">
        <v>5033.8599999999997</v>
      </c>
      <c r="G88">
        <v>45661</v>
      </c>
      <c r="J88" t="str">
        <v>Aravind</v>
      </c>
      <c r="M88" t="str">
        <v>Central</v>
      </c>
      <c r="O88" t="str">
        <v>Shahid</v>
      </c>
      <c r="P88" t="str">
        <v>Mar</v>
      </c>
      <c r="Q88" t="str">
        <v>West</v>
      </c>
      <c r="R88" t="str">
        <v>P2</v>
      </c>
      <c r="S88">
        <v>26750</v>
      </c>
      <c r="T88">
        <v>1605</v>
      </c>
      <c r="U88">
        <v>45726</v>
      </c>
    </row>
    <row r="89" spans="1:21" x14ac:dyDescent="0.25">
      <c r="A89" t="str">
        <v>Aravind</v>
      </c>
      <c r="B89" t="str">
        <v>Jan</v>
      </c>
      <c r="C89" t="str">
        <v>West</v>
      </c>
      <c r="D89" t="str">
        <v>P2</v>
      </c>
      <c r="E89">
        <v>38914</v>
      </c>
      <c r="F89">
        <v>6226.24</v>
      </c>
      <c r="G89">
        <v>45668</v>
      </c>
      <c r="J89" t="str">
        <v>Aravind</v>
      </c>
      <c r="M89" t="str">
        <v>West</v>
      </c>
      <c r="O89" t="str">
        <v>Shahid</v>
      </c>
      <c r="P89" t="str">
        <v>Mar</v>
      </c>
      <c r="Q89" t="str">
        <v>Central</v>
      </c>
      <c r="R89" t="str">
        <v>P1</v>
      </c>
      <c r="S89">
        <v>36699</v>
      </c>
      <c r="T89">
        <v>4403.88</v>
      </c>
      <c r="U89">
        <v>45728</v>
      </c>
    </row>
    <row r="90" spans="1:21" x14ac:dyDescent="0.25">
      <c r="A90" t="str">
        <v>Aravind</v>
      </c>
      <c r="B90" t="str">
        <v>Jan</v>
      </c>
      <c r="C90" t="str">
        <v>East</v>
      </c>
      <c r="D90" t="str">
        <v>P3</v>
      </c>
      <c r="E90">
        <v>25694</v>
      </c>
      <c r="F90">
        <v>5909.62</v>
      </c>
      <c r="G90">
        <v>45688</v>
      </c>
      <c r="J90" t="str">
        <v>Aravind</v>
      </c>
      <c r="M90" t="str">
        <v>East</v>
      </c>
      <c r="O90" t="str">
        <v>Aravind</v>
      </c>
      <c r="P90" t="str">
        <v>Feb</v>
      </c>
      <c r="Q90" t="str">
        <v>North</v>
      </c>
      <c r="R90" t="str">
        <v>P1</v>
      </c>
      <c r="S90">
        <v>29281</v>
      </c>
      <c r="T90">
        <v>1756.86</v>
      </c>
      <c r="U90">
        <v>45695</v>
      </c>
    </row>
    <row r="91" spans="1:21" x14ac:dyDescent="0.25">
      <c r="A91" t="str">
        <v>Kalyan</v>
      </c>
      <c r="B91" t="str">
        <v>Mar</v>
      </c>
      <c r="C91" t="str">
        <v>Central</v>
      </c>
      <c r="D91" t="str">
        <v>P1</v>
      </c>
      <c r="E91">
        <v>17833</v>
      </c>
      <c r="F91">
        <v>2139.96</v>
      </c>
      <c r="G91">
        <v>45733</v>
      </c>
      <c r="J91" t="str">
        <v>Kalyan</v>
      </c>
      <c r="M91" t="str">
        <v>Central</v>
      </c>
      <c r="O91" t="str">
        <v>Aravind</v>
      </c>
      <c r="P91" t="str">
        <v>Jan</v>
      </c>
      <c r="Q91" t="str">
        <v>Central</v>
      </c>
      <c r="R91" t="str">
        <v>P1</v>
      </c>
      <c r="S91">
        <v>19361</v>
      </c>
      <c r="T91">
        <v>5033.8599999999997</v>
      </c>
      <c r="U91">
        <v>45661</v>
      </c>
    </row>
    <row r="92" spans="1:21" x14ac:dyDescent="0.25">
      <c r="A92" t="str">
        <v>Kalyan</v>
      </c>
      <c r="B92" t="str">
        <v>Feb</v>
      </c>
      <c r="C92" t="str">
        <v>Central</v>
      </c>
      <c r="D92" t="str">
        <v>P1</v>
      </c>
      <c r="E92">
        <v>17159</v>
      </c>
      <c r="F92">
        <v>2573.85</v>
      </c>
      <c r="G92">
        <v>45701</v>
      </c>
      <c r="J92" t="str">
        <v>Kalyan</v>
      </c>
      <c r="M92" t="str">
        <v>Central</v>
      </c>
      <c r="O92" t="str">
        <v>Aravind</v>
      </c>
      <c r="P92" t="str">
        <v>Jan</v>
      </c>
      <c r="Q92" t="str">
        <v>West</v>
      </c>
      <c r="R92" t="str">
        <v>P2</v>
      </c>
      <c r="S92">
        <v>38914</v>
      </c>
      <c r="T92">
        <v>6226.24</v>
      </c>
      <c r="U92">
        <v>45668</v>
      </c>
    </row>
    <row r="93" spans="1:21" x14ac:dyDescent="0.25">
      <c r="A93" t="str">
        <v>Pavan</v>
      </c>
      <c r="B93" t="str">
        <v>Jan</v>
      </c>
      <c r="C93" t="str">
        <v>Central</v>
      </c>
      <c r="D93" t="str">
        <v>P2</v>
      </c>
      <c r="E93">
        <v>19758</v>
      </c>
      <c r="F93">
        <v>1580.64</v>
      </c>
      <c r="G93">
        <v>45686</v>
      </c>
      <c r="J93" t="str">
        <v>Pavan</v>
      </c>
      <c r="M93" t="str">
        <v>Central</v>
      </c>
      <c r="O93" t="str">
        <v>Aravind</v>
      </c>
      <c r="P93" t="str">
        <v>Jan</v>
      </c>
      <c r="Q93" t="str">
        <v>East</v>
      </c>
      <c r="R93" t="str">
        <v>P3</v>
      </c>
      <c r="S93">
        <v>25694</v>
      </c>
      <c r="T93">
        <v>5909.62</v>
      </c>
      <c r="U93">
        <v>45688</v>
      </c>
    </row>
    <row r="94" spans="1:21" x14ac:dyDescent="0.25">
      <c r="A94" t="str">
        <v>Shahid</v>
      </c>
      <c r="B94" t="str">
        <v>Mar</v>
      </c>
      <c r="C94" t="str">
        <v>North</v>
      </c>
      <c r="D94" t="str">
        <v>P1</v>
      </c>
      <c r="E94">
        <v>36840</v>
      </c>
      <c r="F94">
        <v>2578.8000000000002</v>
      </c>
      <c r="G94">
        <v>45742</v>
      </c>
      <c r="J94" t="str">
        <v>Shahid</v>
      </c>
      <c r="M94" t="str">
        <v>North</v>
      </c>
      <c r="O94" t="str">
        <v>Kalyan</v>
      </c>
      <c r="P94" t="str">
        <v>Mar</v>
      </c>
      <c r="Q94" t="str">
        <v>Central</v>
      </c>
      <c r="R94" t="str">
        <v>P1</v>
      </c>
      <c r="S94">
        <v>17833</v>
      </c>
      <c r="T94">
        <v>2139.96</v>
      </c>
      <c r="U94">
        <v>45733</v>
      </c>
    </row>
    <row r="95" spans="1:21" x14ac:dyDescent="0.25">
      <c r="A95" t="str">
        <v>Kalyan</v>
      </c>
      <c r="B95" t="str">
        <v>Jan</v>
      </c>
      <c r="C95" t="str">
        <v>Central</v>
      </c>
      <c r="D95" t="str">
        <v>P2</v>
      </c>
      <c r="E95">
        <v>21622</v>
      </c>
      <c r="F95">
        <v>3459.52</v>
      </c>
      <c r="G95">
        <v>45677</v>
      </c>
      <c r="J95" t="str">
        <v>Kalyan</v>
      </c>
      <c r="M95" t="str">
        <v>Central</v>
      </c>
      <c r="O95" t="str">
        <v>Kalyan</v>
      </c>
      <c r="P95" t="str">
        <v>Feb</v>
      </c>
      <c r="Q95" t="str">
        <v>Central</v>
      </c>
      <c r="R95" t="str">
        <v>P1</v>
      </c>
      <c r="S95">
        <v>17159</v>
      </c>
      <c r="T95">
        <v>2573.85</v>
      </c>
      <c r="U95">
        <v>45701</v>
      </c>
    </row>
    <row r="96" spans="1:21" x14ac:dyDescent="0.25">
      <c r="A96" t="str">
        <v>Shahid</v>
      </c>
      <c r="B96" t="str">
        <v>Feb</v>
      </c>
      <c r="C96" t="str">
        <v>West</v>
      </c>
      <c r="D96" t="str">
        <v>P2</v>
      </c>
      <c r="E96">
        <v>18626</v>
      </c>
      <c r="F96">
        <v>2048.86</v>
      </c>
      <c r="G96">
        <v>45709</v>
      </c>
      <c r="J96" t="str">
        <v>Shahid</v>
      </c>
      <c r="M96" t="str">
        <v>West</v>
      </c>
      <c r="O96" t="str">
        <v>Pavan</v>
      </c>
      <c r="P96" t="str">
        <v>Jan</v>
      </c>
      <c r="Q96" t="str">
        <v>Central</v>
      </c>
      <c r="R96" t="str">
        <v>P2</v>
      </c>
      <c r="S96">
        <v>19758</v>
      </c>
      <c r="T96">
        <v>1580.64</v>
      </c>
      <c r="U96">
        <v>45686</v>
      </c>
    </row>
    <row r="97" spans="1:21" x14ac:dyDescent="0.25">
      <c r="A97" t="str">
        <v>Kalyan</v>
      </c>
      <c r="B97" t="str">
        <v>Jan</v>
      </c>
      <c r="C97" t="str">
        <v>East</v>
      </c>
      <c r="D97" t="str">
        <v>P2</v>
      </c>
      <c r="E97">
        <v>32255</v>
      </c>
      <c r="F97">
        <v>4193.1499999999996</v>
      </c>
      <c r="G97">
        <v>45668</v>
      </c>
      <c r="J97" t="str">
        <v>Kalyan</v>
      </c>
      <c r="M97" t="str">
        <v>East</v>
      </c>
      <c r="O97" t="str">
        <v>Shahid</v>
      </c>
      <c r="P97" t="str">
        <v>Mar</v>
      </c>
      <c r="Q97" t="str">
        <v>North</v>
      </c>
      <c r="R97" t="str">
        <v>P1</v>
      </c>
      <c r="S97">
        <v>36840</v>
      </c>
      <c r="T97">
        <v>2578.8000000000002</v>
      </c>
      <c r="U97">
        <v>45742</v>
      </c>
    </row>
    <row r="98" spans="1:21" x14ac:dyDescent="0.25">
      <c r="A98" t="str">
        <v>Kalyan</v>
      </c>
      <c r="B98" t="str">
        <v>Jan</v>
      </c>
      <c r="C98" t="str">
        <v>East</v>
      </c>
      <c r="D98" t="str">
        <v>P2</v>
      </c>
      <c r="E98">
        <v>10483</v>
      </c>
      <c r="F98">
        <v>1991.77</v>
      </c>
      <c r="G98">
        <v>45684</v>
      </c>
      <c r="J98" t="str">
        <v>Kalyan</v>
      </c>
      <c r="M98" t="str">
        <v>East</v>
      </c>
      <c r="O98" t="str">
        <v>Kalyan</v>
      </c>
      <c r="P98" t="str">
        <v>Jan</v>
      </c>
      <c r="Q98" t="str">
        <v>Central</v>
      </c>
      <c r="R98" t="str">
        <v>P2</v>
      </c>
      <c r="S98">
        <v>21622</v>
      </c>
      <c r="T98">
        <v>3459.52</v>
      </c>
      <c r="U98">
        <v>45677</v>
      </c>
    </row>
    <row r="99" spans="1:21" x14ac:dyDescent="0.25">
      <c r="A99" t="str">
        <v>Shahid</v>
      </c>
      <c r="B99" t="str">
        <v>Mar</v>
      </c>
      <c r="C99" t="str">
        <v>South</v>
      </c>
      <c r="D99" t="str">
        <v>P3</v>
      </c>
      <c r="E99">
        <v>30168</v>
      </c>
      <c r="F99">
        <v>8447.0400000000009</v>
      </c>
      <c r="G99">
        <v>45739</v>
      </c>
      <c r="J99" t="str">
        <v>Shahid</v>
      </c>
      <c r="M99" t="str">
        <v>South</v>
      </c>
      <c r="O99" t="str">
        <v>Shahid</v>
      </c>
      <c r="P99" t="str">
        <v>Feb</v>
      </c>
      <c r="Q99" t="str">
        <v>West</v>
      </c>
      <c r="R99" t="str">
        <v>P2</v>
      </c>
      <c r="S99">
        <v>18626</v>
      </c>
      <c r="T99">
        <v>2048.86</v>
      </c>
      <c r="U99">
        <v>45709</v>
      </c>
    </row>
    <row r="100" spans="1:21" x14ac:dyDescent="0.25">
      <c r="A100" t="str">
        <v>Aravind</v>
      </c>
      <c r="B100" t="str">
        <v>Feb</v>
      </c>
      <c r="C100" t="str">
        <v>North</v>
      </c>
      <c r="D100" t="str">
        <v>P3</v>
      </c>
      <c r="E100">
        <v>39227</v>
      </c>
      <c r="F100">
        <v>8629.94</v>
      </c>
      <c r="G100">
        <v>45693</v>
      </c>
      <c r="J100" t="str">
        <v>Aravind</v>
      </c>
      <c r="M100" t="str">
        <v>North</v>
      </c>
      <c r="O100" t="str">
        <v>Kalyan</v>
      </c>
      <c r="P100" t="str">
        <v>Jan</v>
      </c>
      <c r="Q100" t="str">
        <v>East</v>
      </c>
      <c r="R100" t="str">
        <v>P2</v>
      </c>
      <c r="S100">
        <v>32255</v>
      </c>
      <c r="T100">
        <v>4193.1499999999996</v>
      </c>
      <c r="U100">
        <v>45668</v>
      </c>
    </row>
    <row r="101" spans="1:21" x14ac:dyDescent="0.25">
      <c r="O101" t="str">
        <v>Kalyan</v>
      </c>
      <c r="P101" t="str">
        <v>Jan</v>
      </c>
      <c r="Q101" t="str">
        <v>East</v>
      </c>
      <c r="R101" t="str">
        <v>P2</v>
      </c>
      <c r="S101">
        <v>10483</v>
      </c>
      <c r="T101">
        <v>1991.77</v>
      </c>
      <c r="U101">
        <v>45684</v>
      </c>
    </row>
    <row r="102" spans="1:21" x14ac:dyDescent="0.25">
      <c r="O102" t="str">
        <v>Shahid</v>
      </c>
      <c r="P102" t="str">
        <v>Mar</v>
      </c>
      <c r="Q102" t="str">
        <v>South</v>
      </c>
      <c r="R102" t="str">
        <v>P3</v>
      </c>
      <c r="S102">
        <v>30168</v>
      </c>
      <c r="T102">
        <v>8447.0400000000009</v>
      </c>
      <c r="U102">
        <v>45739</v>
      </c>
    </row>
    <row r="103" spans="1:21" x14ac:dyDescent="0.25">
      <c r="O103" t="str">
        <v>Aravind</v>
      </c>
      <c r="P103" t="str">
        <v>Feb</v>
      </c>
      <c r="Q103" t="str">
        <v>North</v>
      </c>
      <c r="R103" t="str">
        <v>P3</v>
      </c>
      <c r="S103">
        <v>39227</v>
      </c>
      <c r="T103">
        <v>8629.94</v>
      </c>
      <c r="U103">
        <v>45693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187B-2027-43E2-BBDA-A371BA963178}">
  <dimension ref="A1:K14"/>
  <sheetViews>
    <sheetView zoomScale="120" zoomScaleNormal="120" workbookViewId="0">
      <selection sqref="A1:A11"/>
    </sheetView>
  </sheetViews>
  <sheetFormatPr defaultRowHeight="15" x14ac:dyDescent="0.25"/>
  <cols>
    <col min="1" max="1" width="11.85546875" customWidth="1"/>
    <col min="2" max="2" width="10.140625" customWidth="1"/>
    <col min="5" max="5" width="17.85546875" customWidth="1"/>
    <col min="11" max="11" width="19" bestFit="1" customWidth="1"/>
  </cols>
  <sheetData>
    <row r="1" spans="1:11" x14ac:dyDescent="0.25">
      <c r="A1" s="1" t="s">
        <v>252</v>
      </c>
      <c r="B1" s="1" t="s">
        <v>307</v>
      </c>
      <c r="C1" s="1" t="s">
        <v>306</v>
      </c>
      <c r="D1" s="1" t="s">
        <v>308</v>
      </c>
      <c r="E1" s="1" t="s">
        <v>302</v>
      </c>
      <c r="J1" s="1" t="s">
        <v>317</v>
      </c>
      <c r="K1" s="1" t="s">
        <v>302</v>
      </c>
    </row>
    <row r="2" spans="1:11" x14ac:dyDescent="0.25">
      <c r="A2" t="s">
        <v>298</v>
      </c>
      <c r="B2" t="s">
        <v>304</v>
      </c>
      <c r="C2">
        <v>30775</v>
      </c>
      <c r="D2" t="s">
        <v>309</v>
      </c>
      <c r="E2" t="str">
        <f>VLOOKUP(B2,$J$1:$K$4,2,0)</f>
        <v>Human Resource</v>
      </c>
      <c r="J2" t="s">
        <v>304</v>
      </c>
      <c r="K2" t="s">
        <v>318</v>
      </c>
    </row>
    <row r="3" spans="1:11" x14ac:dyDescent="0.25">
      <c r="A3" t="s">
        <v>255</v>
      </c>
      <c r="B3" t="s">
        <v>304</v>
      </c>
      <c r="C3">
        <v>39473</v>
      </c>
      <c r="D3" t="s">
        <v>310</v>
      </c>
      <c r="E3" t="str">
        <f t="shared" ref="E3:E11" si="0">VLOOKUP(B3,$J$1:$K$4,2,0)</f>
        <v>Human Resource</v>
      </c>
      <c r="J3" t="s">
        <v>303</v>
      </c>
      <c r="K3" t="s">
        <v>319</v>
      </c>
    </row>
    <row r="4" spans="1:11" x14ac:dyDescent="0.25">
      <c r="A4" t="s">
        <v>257</v>
      </c>
      <c r="B4" t="s">
        <v>305</v>
      </c>
      <c r="C4">
        <v>39434</v>
      </c>
      <c r="D4" t="s">
        <v>311</v>
      </c>
      <c r="E4" t="str">
        <f t="shared" si="0"/>
        <v>Sales and Marketing</v>
      </c>
      <c r="J4" t="s">
        <v>305</v>
      </c>
      <c r="K4" t="s">
        <v>320</v>
      </c>
    </row>
    <row r="5" spans="1:11" x14ac:dyDescent="0.25">
      <c r="A5" t="s">
        <v>256</v>
      </c>
      <c r="B5" t="s">
        <v>304</v>
      </c>
      <c r="C5">
        <v>29283</v>
      </c>
      <c r="D5" t="s">
        <v>312</v>
      </c>
      <c r="E5" t="str">
        <f t="shared" si="0"/>
        <v>Human Resource</v>
      </c>
    </row>
    <row r="6" spans="1:11" x14ac:dyDescent="0.25">
      <c r="A6" t="s">
        <v>299</v>
      </c>
      <c r="B6" t="s">
        <v>303</v>
      </c>
      <c r="C6">
        <v>40061</v>
      </c>
      <c r="D6" t="s">
        <v>313</v>
      </c>
      <c r="E6" t="str">
        <f t="shared" si="0"/>
        <v>Internal Logistics</v>
      </c>
      <c r="K6" t="s">
        <v>323</v>
      </c>
    </row>
    <row r="7" spans="1:11" x14ac:dyDescent="0.25">
      <c r="A7" t="s">
        <v>300</v>
      </c>
      <c r="B7" t="s">
        <v>325</v>
      </c>
      <c r="C7">
        <v>40258</v>
      </c>
      <c r="D7" t="s">
        <v>310</v>
      </c>
      <c r="E7" t="e">
        <f t="shared" si="0"/>
        <v>#N/A</v>
      </c>
      <c r="K7" t="s">
        <v>324</v>
      </c>
    </row>
    <row r="8" spans="1:11" x14ac:dyDescent="0.25">
      <c r="A8" t="s">
        <v>258</v>
      </c>
      <c r="B8" t="s">
        <v>305</v>
      </c>
      <c r="C8">
        <v>40034</v>
      </c>
      <c r="D8" t="s">
        <v>309</v>
      </c>
      <c r="E8" t="str">
        <f t="shared" si="0"/>
        <v>Sales and Marketing</v>
      </c>
    </row>
    <row r="9" spans="1:11" x14ac:dyDescent="0.25">
      <c r="A9" t="s">
        <v>301</v>
      </c>
      <c r="B9" t="s">
        <v>303</v>
      </c>
      <c r="C9">
        <v>44103</v>
      </c>
      <c r="D9" t="s">
        <v>314</v>
      </c>
      <c r="E9" t="str">
        <f t="shared" si="0"/>
        <v>Internal Logistics</v>
      </c>
    </row>
    <row r="10" spans="1:11" x14ac:dyDescent="0.25">
      <c r="A10" t="s">
        <v>260</v>
      </c>
      <c r="B10" t="s">
        <v>305</v>
      </c>
      <c r="C10">
        <v>31013</v>
      </c>
      <c r="D10" t="s">
        <v>315</v>
      </c>
      <c r="E10" t="str">
        <f t="shared" si="0"/>
        <v>Sales and Marketing</v>
      </c>
    </row>
    <row r="11" spans="1:11" x14ac:dyDescent="0.25">
      <c r="A11" t="s">
        <v>253</v>
      </c>
      <c r="B11" t="s">
        <v>303</v>
      </c>
      <c r="C11">
        <v>29705</v>
      </c>
      <c r="D11" t="s">
        <v>316</v>
      </c>
      <c r="E11" t="str">
        <f t="shared" si="0"/>
        <v>Internal Logistics</v>
      </c>
    </row>
    <row r="13" spans="1:11" x14ac:dyDescent="0.25">
      <c r="B13" t="s">
        <v>322</v>
      </c>
    </row>
    <row r="14" spans="1:11" x14ac:dyDescent="0.25">
      <c r="B14" t="s">
        <v>321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A3CD-4A0E-4A7C-B95E-03ED103C3E32}">
  <dimension ref="A1:M16"/>
  <sheetViews>
    <sheetView zoomScale="110" zoomScaleNormal="110" workbookViewId="0">
      <selection activeCell="I1" sqref="I1:M7"/>
    </sheetView>
  </sheetViews>
  <sheetFormatPr defaultRowHeight="15" x14ac:dyDescent="0.25"/>
  <cols>
    <col min="1" max="1" width="12.5703125" customWidth="1"/>
    <col min="2" max="2" width="10.7109375" bestFit="1" customWidth="1"/>
    <col min="11" max="11" width="13.85546875" customWidth="1"/>
  </cols>
  <sheetData>
    <row r="1" spans="1:13" x14ac:dyDescent="0.25">
      <c r="A1" s="1" t="s">
        <v>252</v>
      </c>
      <c r="B1" s="1" t="s">
        <v>330</v>
      </c>
      <c r="C1" s="1" t="s">
        <v>334</v>
      </c>
      <c r="D1" s="1" t="s">
        <v>337</v>
      </c>
      <c r="I1" s="1" t="s">
        <v>335</v>
      </c>
      <c r="J1" s="1" t="s">
        <v>189</v>
      </c>
      <c r="K1" s="1" t="s">
        <v>349</v>
      </c>
      <c r="L1" s="1" t="s">
        <v>337</v>
      </c>
      <c r="M1" s="1" t="s">
        <v>355</v>
      </c>
    </row>
    <row r="2" spans="1:13" x14ac:dyDescent="0.25">
      <c r="A2" t="s">
        <v>298</v>
      </c>
      <c r="B2" t="s">
        <v>331</v>
      </c>
      <c r="C2">
        <v>64</v>
      </c>
      <c r="D2" t="str">
        <f>VLOOKUP(C2,$J$1:$M$7,3,1)</f>
        <v>D</v>
      </c>
      <c r="I2" t="s">
        <v>336</v>
      </c>
      <c r="J2">
        <v>1</v>
      </c>
      <c r="K2" t="s">
        <v>350</v>
      </c>
      <c r="L2" t="s">
        <v>338</v>
      </c>
      <c r="M2" t="s">
        <v>356</v>
      </c>
    </row>
    <row r="3" spans="1:13" x14ac:dyDescent="0.25">
      <c r="A3" t="s">
        <v>255</v>
      </c>
      <c r="B3" t="s">
        <v>332</v>
      </c>
      <c r="C3">
        <v>45</v>
      </c>
      <c r="D3" t="str">
        <f t="shared" ref="D3:D16" si="0">VLOOKUP(C3,$J$1:$M$7,3,1)</f>
        <v>Fail</v>
      </c>
      <c r="I3" t="s">
        <v>339</v>
      </c>
      <c r="J3">
        <v>50</v>
      </c>
      <c r="K3" t="s">
        <v>351</v>
      </c>
      <c r="L3" t="s">
        <v>340</v>
      </c>
      <c r="M3" t="s">
        <v>357</v>
      </c>
    </row>
    <row r="4" spans="1:13" x14ac:dyDescent="0.25">
      <c r="A4" t="s">
        <v>257</v>
      </c>
      <c r="B4" t="s">
        <v>333</v>
      </c>
      <c r="C4">
        <v>70</v>
      </c>
      <c r="D4" t="str">
        <f t="shared" si="0"/>
        <v>C</v>
      </c>
      <c r="I4" t="s">
        <v>341</v>
      </c>
      <c r="J4">
        <v>60</v>
      </c>
      <c r="K4" t="s">
        <v>352</v>
      </c>
      <c r="L4" t="s">
        <v>342</v>
      </c>
      <c r="M4" t="s">
        <v>358</v>
      </c>
    </row>
    <row r="5" spans="1:13" x14ac:dyDescent="0.25">
      <c r="A5" t="s">
        <v>256</v>
      </c>
      <c r="B5" t="s">
        <v>331</v>
      </c>
      <c r="C5">
        <v>90</v>
      </c>
      <c r="D5" t="str">
        <f t="shared" si="0"/>
        <v>A</v>
      </c>
      <c r="I5" t="s">
        <v>343</v>
      </c>
      <c r="J5">
        <v>70</v>
      </c>
      <c r="K5" t="s">
        <v>352</v>
      </c>
      <c r="L5" t="s">
        <v>344</v>
      </c>
      <c r="M5" t="s">
        <v>358</v>
      </c>
    </row>
    <row r="6" spans="1:13" x14ac:dyDescent="0.25">
      <c r="A6" t="s">
        <v>299</v>
      </c>
      <c r="B6" t="s">
        <v>333</v>
      </c>
      <c r="C6">
        <v>41</v>
      </c>
      <c r="D6" t="str">
        <f t="shared" si="0"/>
        <v>Fail</v>
      </c>
      <c r="I6" t="s">
        <v>345</v>
      </c>
      <c r="J6">
        <v>80</v>
      </c>
      <c r="K6" t="s">
        <v>353</v>
      </c>
      <c r="L6" t="s">
        <v>348</v>
      </c>
      <c r="M6" t="s">
        <v>359</v>
      </c>
    </row>
    <row r="7" spans="1:13" x14ac:dyDescent="0.25">
      <c r="A7" t="s">
        <v>300</v>
      </c>
      <c r="B7" t="s">
        <v>333</v>
      </c>
      <c r="C7">
        <v>81</v>
      </c>
      <c r="D7" t="str">
        <f t="shared" si="0"/>
        <v>B</v>
      </c>
      <c r="I7" t="s">
        <v>346</v>
      </c>
      <c r="J7">
        <v>90</v>
      </c>
      <c r="K7" t="s">
        <v>354</v>
      </c>
      <c r="L7" t="s">
        <v>347</v>
      </c>
      <c r="M7" t="s">
        <v>360</v>
      </c>
    </row>
    <row r="8" spans="1:13" x14ac:dyDescent="0.25">
      <c r="A8" t="s">
        <v>258</v>
      </c>
      <c r="B8" t="s">
        <v>331</v>
      </c>
      <c r="C8">
        <v>58</v>
      </c>
      <c r="D8" t="str">
        <f t="shared" si="0"/>
        <v>E</v>
      </c>
    </row>
    <row r="9" spans="1:13" x14ac:dyDescent="0.25">
      <c r="A9" t="s">
        <v>301</v>
      </c>
      <c r="B9" t="s">
        <v>332</v>
      </c>
      <c r="C9">
        <v>34</v>
      </c>
      <c r="D9" t="str">
        <f t="shared" si="0"/>
        <v>Fail</v>
      </c>
    </row>
    <row r="10" spans="1:13" x14ac:dyDescent="0.25">
      <c r="A10" t="s">
        <v>260</v>
      </c>
      <c r="B10" t="s">
        <v>332</v>
      </c>
      <c r="C10">
        <v>17</v>
      </c>
      <c r="D10" t="str">
        <f t="shared" si="0"/>
        <v>Fail</v>
      </c>
    </row>
    <row r="11" spans="1:13" x14ac:dyDescent="0.25">
      <c r="A11" t="s">
        <v>253</v>
      </c>
      <c r="B11" t="s">
        <v>333</v>
      </c>
      <c r="C11">
        <v>80</v>
      </c>
      <c r="D11" t="str">
        <f t="shared" si="0"/>
        <v>B</v>
      </c>
    </row>
    <row r="12" spans="1:13" x14ac:dyDescent="0.25">
      <c r="A12" t="s">
        <v>326</v>
      </c>
      <c r="B12" t="s">
        <v>331</v>
      </c>
      <c r="C12">
        <v>53</v>
      </c>
      <c r="D12" t="str">
        <f t="shared" si="0"/>
        <v>E</v>
      </c>
    </row>
    <row r="13" spans="1:13" x14ac:dyDescent="0.25">
      <c r="A13" t="s">
        <v>327</v>
      </c>
      <c r="B13" t="s">
        <v>332</v>
      </c>
      <c r="C13">
        <v>69</v>
      </c>
      <c r="D13" t="str">
        <f t="shared" si="0"/>
        <v>D</v>
      </c>
      <c r="K13" t="s">
        <v>324</v>
      </c>
    </row>
    <row r="14" spans="1:13" x14ac:dyDescent="0.25">
      <c r="A14" t="s">
        <v>259</v>
      </c>
      <c r="B14" t="s">
        <v>333</v>
      </c>
      <c r="C14">
        <v>86</v>
      </c>
      <c r="D14" t="str">
        <f t="shared" si="0"/>
        <v>B</v>
      </c>
    </row>
    <row r="15" spans="1:13" x14ac:dyDescent="0.25">
      <c r="A15" t="s">
        <v>328</v>
      </c>
      <c r="B15" t="s">
        <v>331</v>
      </c>
      <c r="C15">
        <v>58</v>
      </c>
      <c r="D15" t="str">
        <f t="shared" si="0"/>
        <v>E</v>
      </c>
    </row>
    <row r="16" spans="1:13" x14ac:dyDescent="0.25">
      <c r="A16" t="s">
        <v>329</v>
      </c>
      <c r="B16" t="s">
        <v>331</v>
      </c>
      <c r="C16">
        <v>72</v>
      </c>
      <c r="D16" t="str">
        <f t="shared" si="0"/>
        <v>C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B109-7676-4CA1-A3C6-94AFA709230E}">
  <dimension ref="A1:K15"/>
  <sheetViews>
    <sheetView workbookViewId="0">
      <selection activeCell="G9" sqref="G9"/>
    </sheetView>
  </sheetViews>
  <sheetFormatPr defaultRowHeight="15" x14ac:dyDescent="0.25"/>
  <sheetData>
    <row r="1" spans="1:11" x14ac:dyDescent="0.25">
      <c r="A1" s="1" t="s">
        <v>308</v>
      </c>
      <c r="B1" t="s">
        <v>310</v>
      </c>
      <c r="C1" t="s">
        <v>314</v>
      </c>
      <c r="D1" t="s">
        <v>312</v>
      </c>
      <c r="E1" t="s">
        <v>311</v>
      </c>
      <c r="F1" t="s">
        <v>313</v>
      </c>
      <c r="G1" t="s">
        <v>316</v>
      </c>
      <c r="H1" t="s">
        <v>309</v>
      </c>
      <c r="I1" t="s">
        <v>362</v>
      </c>
      <c r="J1" t="s">
        <v>315</v>
      </c>
      <c r="K1" t="s">
        <v>363</v>
      </c>
    </row>
    <row r="2" spans="1:11" x14ac:dyDescent="0.25">
      <c r="A2" s="1" t="s">
        <v>361</v>
      </c>
      <c r="B2">
        <v>1</v>
      </c>
      <c r="C2">
        <v>10</v>
      </c>
      <c r="D2">
        <v>4</v>
      </c>
      <c r="E2">
        <v>3</v>
      </c>
      <c r="F2">
        <v>8</v>
      </c>
      <c r="G2">
        <v>7</v>
      </c>
      <c r="H2">
        <v>2</v>
      </c>
      <c r="I2">
        <v>5</v>
      </c>
      <c r="J2">
        <v>9</v>
      </c>
      <c r="K2">
        <v>6</v>
      </c>
    </row>
    <row r="5" spans="1:11" x14ac:dyDescent="0.25">
      <c r="A5" s="1" t="s">
        <v>308</v>
      </c>
      <c r="B5" s="1" t="s">
        <v>361</v>
      </c>
    </row>
    <row r="6" spans="1:11" x14ac:dyDescent="0.25">
      <c r="A6" t="s">
        <v>313</v>
      </c>
      <c r="B6">
        <f>HLOOKUP(A6,$A$1:$K$2,2,0)</f>
        <v>8</v>
      </c>
    </row>
    <row r="7" spans="1:11" x14ac:dyDescent="0.25">
      <c r="A7" t="s">
        <v>364</v>
      </c>
      <c r="B7" t="e">
        <f t="shared" ref="B7:B15" si="0">HLOOKUP(A7,$A$1:$K$2,2,0)</f>
        <v>#N/A</v>
      </c>
    </row>
    <row r="8" spans="1:11" x14ac:dyDescent="0.25">
      <c r="A8" t="s">
        <v>311</v>
      </c>
      <c r="B8">
        <f t="shared" si="0"/>
        <v>3</v>
      </c>
    </row>
    <row r="9" spans="1:11" x14ac:dyDescent="0.25">
      <c r="A9" t="s">
        <v>309</v>
      </c>
      <c r="B9">
        <f t="shared" si="0"/>
        <v>2</v>
      </c>
    </row>
    <row r="10" spans="1:11" x14ac:dyDescent="0.25">
      <c r="A10" t="s">
        <v>310</v>
      </c>
      <c r="B10">
        <f t="shared" si="0"/>
        <v>1</v>
      </c>
    </row>
    <row r="11" spans="1:11" x14ac:dyDescent="0.25">
      <c r="A11" t="s">
        <v>314</v>
      </c>
      <c r="B11">
        <f t="shared" si="0"/>
        <v>10</v>
      </c>
    </row>
    <row r="12" spans="1:11" x14ac:dyDescent="0.25">
      <c r="A12" t="s">
        <v>363</v>
      </c>
      <c r="B12">
        <f t="shared" si="0"/>
        <v>6</v>
      </c>
    </row>
    <row r="13" spans="1:11" x14ac:dyDescent="0.25">
      <c r="A13" t="s">
        <v>365</v>
      </c>
      <c r="B13" t="e">
        <f t="shared" si="0"/>
        <v>#N/A</v>
      </c>
    </row>
    <row r="14" spans="1:11" x14ac:dyDescent="0.25">
      <c r="A14" t="s">
        <v>316</v>
      </c>
      <c r="B14">
        <f t="shared" si="0"/>
        <v>7</v>
      </c>
    </row>
    <row r="15" spans="1:11" x14ac:dyDescent="0.25">
      <c r="A15" t="s">
        <v>366</v>
      </c>
      <c r="B15" t="e">
        <f t="shared" si="0"/>
        <v>#N/A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9B50-6B6B-4D27-9E22-5AEF1F87469A}">
  <dimension ref="C4:O16"/>
  <sheetViews>
    <sheetView workbookViewId="0">
      <selection activeCell="C10" sqref="C10"/>
    </sheetView>
  </sheetViews>
  <sheetFormatPr defaultRowHeight="15" x14ac:dyDescent="0.25"/>
  <sheetData>
    <row r="4" spans="3:15" x14ac:dyDescent="0.25">
      <c r="G4">
        <v>904</v>
      </c>
      <c r="H4">
        <v>742</v>
      </c>
      <c r="I4">
        <v>250</v>
      </c>
      <c r="J4">
        <v>160</v>
      </c>
      <c r="K4">
        <v>294</v>
      </c>
      <c r="L4">
        <v>768</v>
      </c>
      <c r="M4">
        <v>931</v>
      </c>
      <c r="N4">
        <v>109</v>
      </c>
      <c r="O4">
        <v>809</v>
      </c>
    </row>
    <row r="5" spans="3:15" x14ac:dyDescent="0.25">
      <c r="G5">
        <v>393</v>
      </c>
      <c r="H5">
        <v>39</v>
      </c>
      <c r="I5">
        <v>15</v>
      </c>
      <c r="J5">
        <v>160</v>
      </c>
      <c r="K5">
        <v>126</v>
      </c>
      <c r="L5">
        <v>514</v>
      </c>
      <c r="M5">
        <v>687</v>
      </c>
      <c r="N5">
        <v>843</v>
      </c>
      <c r="O5">
        <v>291</v>
      </c>
    </row>
    <row r="6" spans="3:15" x14ac:dyDescent="0.25">
      <c r="C6">
        <f>INDEX($G$4:$O$16,4,5)</f>
        <v>113</v>
      </c>
      <c r="G6">
        <v>534</v>
      </c>
      <c r="H6">
        <v>861</v>
      </c>
      <c r="I6">
        <v>562</v>
      </c>
      <c r="J6">
        <v>800</v>
      </c>
      <c r="K6">
        <v>52</v>
      </c>
      <c r="L6">
        <v>855</v>
      </c>
      <c r="M6">
        <v>31</v>
      </c>
      <c r="N6">
        <v>166</v>
      </c>
      <c r="O6">
        <v>489</v>
      </c>
    </row>
    <row r="7" spans="3:15" x14ac:dyDescent="0.25">
      <c r="G7">
        <v>149</v>
      </c>
      <c r="H7">
        <v>105</v>
      </c>
      <c r="I7">
        <v>249</v>
      </c>
      <c r="J7">
        <v>40</v>
      </c>
      <c r="K7">
        <v>113</v>
      </c>
      <c r="L7">
        <v>358</v>
      </c>
      <c r="M7">
        <v>865</v>
      </c>
      <c r="N7">
        <v>764</v>
      </c>
      <c r="O7">
        <v>367</v>
      </c>
    </row>
    <row r="8" spans="3:15" x14ac:dyDescent="0.25">
      <c r="C8">
        <f>INDEX($G$4:$O$16,7,3)</f>
        <v>110</v>
      </c>
      <c r="G8">
        <v>348</v>
      </c>
      <c r="H8">
        <v>263</v>
      </c>
      <c r="I8">
        <v>202</v>
      </c>
      <c r="J8">
        <v>235</v>
      </c>
      <c r="K8">
        <v>988</v>
      </c>
      <c r="L8">
        <v>634</v>
      </c>
      <c r="M8">
        <v>797</v>
      </c>
      <c r="N8">
        <v>726</v>
      </c>
      <c r="O8">
        <v>984</v>
      </c>
    </row>
    <row r="9" spans="3:15" x14ac:dyDescent="0.25">
      <c r="G9">
        <v>7</v>
      </c>
      <c r="H9">
        <v>443</v>
      </c>
      <c r="I9">
        <v>722</v>
      </c>
      <c r="J9">
        <v>54</v>
      </c>
      <c r="K9">
        <v>474</v>
      </c>
      <c r="L9">
        <v>107</v>
      </c>
      <c r="M9">
        <v>12</v>
      </c>
      <c r="N9">
        <v>266</v>
      </c>
      <c r="O9">
        <v>856</v>
      </c>
    </row>
    <row r="10" spans="3:15" x14ac:dyDescent="0.25">
      <c r="C10">
        <f>INDEX(G4:O16,6,7)</f>
        <v>12</v>
      </c>
      <c r="G10">
        <v>201</v>
      </c>
      <c r="H10">
        <v>10</v>
      </c>
      <c r="I10">
        <v>110</v>
      </c>
      <c r="J10">
        <v>380</v>
      </c>
      <c r="K10">
        <v>186</v>
      </c>
      <c r="L10">
        <v>10</v>
      </c>
      <c r="M10">
        <v>857</v>
      </c>
      <c r="N10">
        <v>906</v>
      </c>
      <c r="O10">
        <v>937</v>
      </c>
    </row>
    <row r="11" spans="3:15" x14ac:dyDescent="0.25">
      <c r="G11">
        <v>171</v>
      </c>
      <c r="H11">
        <v>211</v>
      </c>
      <c r="I11">
        <v>8</v>
      </c>
      <c r="J11">
        <v>814</v>
      </c>
      <c r="K11">
        <v>297</v>
      </c>
      <c r="L11">
        <v>85</v>
      </c>
      <c r="M11">
        <v>392</v>
      </c>
      <c r="N11">
        <v>431</v>
      </c>
      <c r="O11">
        <v>730</v>
      </c>
    </row>
    <row r="12" spans="3:15" x14ac:dyDescent="0.25">
      <c r="G12">
        <v>948</v>
      </c>
      <c r="H12">
        <v>223</v>
      </c>
      <c r="I12">
        <v>288</v>
      </c>
      <c r="J12">
        <v>340</v>
      </c>
      <c r="K12">
        <v>930</v>
      </c>
      <c r="L12">
        <v>940</v>
      </c>
      <c r="M12">
        <v>369</v>
      </c>
      <c r="N12">
        <v>46</v>
      </c>
      <c r="O12">
        <v>605</v>
      </c>
    </row>
    <row r="13" spans="3:15" x14ac:dyDescent="0.25">
      <c r="G13">
        <v>532</v>
      </c>
      <c r="H13">
        <v>372</v>
      </c>
      <c r="I13">
        <v>345</v>
      </c>
      <c r="J13">
        <v>931</v>
      </c>
      <c r="K13">
        <v>506</v>
      </c>
      <c r="L13">
        <v>445</v>
      </c>
      <c r="M13">
        <v>117</v>
      </c>
      <c r="N13">
        <v>793</v>
      </c>
      <c r="O13">
        <v>720</v>
      </c>
    </row>
    <row r="14" spans="3:15" x14ac:dyDescent="0.25">
      <c r="G14">
        <v>72</v>
      </c>
      <c r="H14">
        <v>898</v>
      </c>
      <c r="I14">
        <v>748</v>
      </c>
      <c r="J14">
        <v>260</v>
      </c>
      <c r="K14">
        <v>863</v>
      </c>
      <c r="L14">
        <v>9</v>
      </c>
      <c r="M14">
        <v>751</v>
      </c>
      <c r="N14">
        <v>610</v>
      </c>
      <c r="O14">
        <v>238</v>
      </c>
    </row>
    <row r="15" spans="3:15" x14ac:dyDescent="0.25">
      <c r="G15">
        <v>259</v>
      </c>
      <c r="H15">
        <v>154</v>
      </c>
      <c r="I15">
        <v>544</v>
      </c>
      <c r="J15">
        <v>73</v>
      </c>
      <c r="K15">
        <v>301</v>
      </c>
      <c r="L15">
        <v>932</v>
      </c>
      <c r="M15">
        <v>999</v>
      </c>
      <c r="N15">
        <v>991</v>
      </c>
      <c r="O15">
        <v>871</v>
      </c>
    </row>
    <row r="16" spans="3:15" x14ac:dyDescent="0.25">
      <c r="G16">
        <v>714</v>
      </c>
      <c r="H16">
        <v>987</v>
      </c>
      <c r="I16">
        <v>215</v>
      </c>
      <c r="J16">
        <v>730</v>
      </c>
      <c r="K16">
        <v>847</v>
      </c>
      <c r="L16">
        <v>613</v>
      </c>
      <c r="M16">
        <v>102</v>
      </c>
      <c r="N16">
        <v>710</v>
      </c>
      <c r="O16">
        <v>983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7869-1F4B-4653-A36F-7E2B94D7C37C}">
  <dimension ref="D3:N8"/>
  <sheetViews>
    <sheetView workbookViewId="0">
      <selection activeCell="K14" sqref="K14"/>
    </sheetView>
  </sheetViews>
  <sheetFormatPr defaultRowHeight="15" x14ac:dyDescent="0.25"/>
  <sheetData>
    <row r="3" spans="4:14" x14ac:dyDescent="0.25">
      <c r="D3">
        <v>992</v>
      </c>
      <c r="E3">
        <v>926</v>
      </c>
      <c r="F3">
        <v>867</v>
      </c>
      <c r="G3">
        <v>797</v>
      </c>
      <c r="H3">
        <v>783</v>
      </c>
      <c r="I3">
        <v>682</v>
      </c>
      <c r="J3">
        <v>573</v>
      </c>
      <c r="K3">
        <v>504</v>
      </c>
      <c r="L3">
        <v>499</v>
      </c>
      <c r="M3">
        <v>347</v>
      </c>
      <c r="N3">
        <v>23</v>
      </c>
    </row>
    <row r="6" spans="4:14" x14ac:dyDescent="0.25">
      <c r="D6">
        <f>MATCH(499,D3:N3,0)</f>
        <v>9</v>
      </c>
      <c r="H6">
        <f>MATCH(797,D3:N3,1)</f>
        <v>11</v>
      </c>
      <c r="K6">
        <f>MATCH(500,D3:N3,-1)</f>
        <v>8</v>
      </c>
    </row>
    <row r="8" spans="4:14" x14ac:dyDescent="0.25">
      <c r="D8" t="e">
        <f>MATCH(477,D3:N3,0)</f>
        <v>#N/A</v>
      </c>
      <c r="H8">
        <f>MATCH(800,D3:N3,1)</f>
        <v>11</v>
      </c>
    </row>
  </sheetData>
  <sortState xmlns:xlrd2="http://schemas.microsoft.com/office/spreadsheetml/2017/richdata2" columnSort="1" ref="D3:N3">
    <sortCondition descending="1" ref="D3:N3"/>
  </sortState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C438-9A38-4207-AC60-9D2F99BAD823}">
  <dimension ref="A1:L16"/>
  <sheetViews>
    <sheetView zoomScale="110" zoomScaleNormal="110" workbookViewId="0">
      <selection activeCell="H8" sqref="H8"/>
    </sheetView>
  </sheetViews>
  <sheetFormatPr defaultRowHeight="15" x14ac:dyDescent="0.25"/>
  <cols>
    <col min="1" max="1" width="9.42578125" customWidth="1"/>
    <col min="2" max="2" width="11.7109375" customWidth="1"/>
    <col min="3" max="3" width="7.28515625" customWidth="1"/>
    <col min="5" max="5" width="12.140625" bestFit="1" customWidth="1"/>
    <col min="9" max="9" width="11.85546875" bestFit="1" customWidth="1"/>
    <col min="10" max="10" width="13.7109375" bestFit="1" customWidth="1"/>
    <col min="12" max="12" width="11" bestFit="1" customWidth="1"/>
  </cols>
  <sheetData>
    <row r="1" spans="1:12" x14ac:dyDescent="0.25">
      <c r="A1" s="1" t="s">
        <v>252</v>
      </c>
      <c r="B1" s="1" t="s">
        <v>330</v>
      </c>
      <c r="C1" s="1" t="s">
        <v>334</v>
      </c>
      <c r="D1" s="1" t="s">
        <v>337</v>
      </c>
      <c r="E1" s="1" t="s">
        <v>379</v>
      </c>
      <c r="H1" s="1" t="s">
        <v>335</v>
      </c>
      <c r="I1" s="1" t="s">
        <v>189</v>
      </c>
      <c r="J1" s="1" t="s">
        <v>349</v>
      </c>
      <c r="K1" s="1" t="s">
        <v>337</v>
      </c>
      <c r="L1" s="1" t="s">
        <v>355</v>
      </c>
    </row>
    <row r="2" spans="1:12" x14ac:dyDescent="0.25">
      <c r="A2" t="s">
        <v>298</v>
      </c>
      <c r="B2" t="s">
        <v>331</v>
      </c>
      <c r="C2">
        <v>64</v>
      </c>
      <c r="D2" t="str">
        <f t="shared" ref="D2:D16" si="0">INDEX(Scores,MATCH(C2,$I$1:$I$7,1),4)</f>
        <v>D</v>
      </c>
      <c r="E2" t="str">
        <f t="shared" ref="E2:E16" si="1">INDEX(Grant,MATCH(C2,$J$11:$J$14,-1),2)</f>
        <v>No grant</v>
      </c>
      <c r="H2" t="s">
        <v>336</v>
      </c>
      <c r="I2">
        <v>1</v>
      </c>
      <c r="J2" t="s">
        <v>350</v>
      </c>
      <c r="K2" t="s">
        <v>338</v>
      </c>
      <c r="L2" t="s">
        <v>356</v>
      </c>
    </row>
    <row r="3" spans="1:12" x14ac:dyDescent="0.25">
      <c r="A3" t="s">
        <v>255</v>
      </c>
      <c r="B3" t="s">
        <v>332</v>
      </c>
      <c r="C3">
        <v>45</v>
      </c>
      <c r="D3" t="str">
        <f t="shared" si="0"/>
        <v>Fail</v>
      </c>
      <c r="E3" t="str">
        <f t="shared" si="1"/>
        <v>Rejection</v>
      </c>
      <c r="H3" t="s">
        <v>339</v>
      </c>
      <c r="I3">
        <v>50</v>
      </c>
      <c r="J3" t="s">
        <v>351</v>
      </c>
      <c r="K3" t="s">
        <v>340</v>
      </c>
      <c r="L3" t="s">
        <v>357</v>
      </c>
    </row>
    <row r="4" spans="1:12" x14ac:dyDescent="0.25">
      <c r="A4" t="s">
        <v>257</v>
      </c>
      <c r="B4" t="s">
        <v>333</v>
      </c>
      <c r="C4">
        <v>70</v>
      </c>
      <c r="D4" t="str">
        <f t="shared" si="0"/>
        <v>C</v>
      </c>
      <c r="E4" t="str">
        <f t="shared" si="1"/>
        <v>Grant</v>
      </c>
      <c r="H4" t="s">
        <v>341</v>
      </c>
      <c r="I4">
        <v>60</v>
      </c>
      <c r="J4" t="s">
        <v>352</v>
      </c>
      <c r="K4" t="s">
        <v>342</v>
      </c>
      <c r="L4" t="s">
        <v>358</v>
      </c>
    </row>
    <row r="5" spans="1:12" x14ac:dyDescent="0.25">
      <c r="A5" t="s">
        <v>256</v>
      </c>
      <c r="B5" t="s">
        <v>331</v>
      </c>
      <c r="C5">
        <v>90</v>
      </c>
      <c r="D5" t="str">
        <f t="shared" si="0"/>
        <v>A</v>
      </c>
      <c r="E5" t="str">
        <f t="shared" si="1"/>
        <v>Grant</v>
      </c>
      <c r="H5" t="s">
        <v>343</v>
      </c>
      <c r="I5">
        <v>70</v>
      </c>
      <c r="J5" t="s">
        <v>352</v>
      </c>
      <c r="K5" t="s">
        <v>344</v>
      </c>
      <c r="L5" t="s">
        <v>358</v>
      </c>
    </row>
    <row r="6" spans="1:12" x14ac:dyDescent="0.25">
      <c r="A6" t="s">
        <v>299</v>
      </c>
      <c r="B6" t="s">
        <v>333</v>
      </c>
      <c r="C6">
        <v>41</v>
      </c>
      <c r="D6" t="str">
        <f t="shared" si="0"/>
        <v>Fail</v>
      </c>
      <c r="E6" t="str">
        <f t="shared" si="1"/>
        <v>Rejection</v>
      </c>
      <c r="H6" t="s">
        <v>345</v>
      </c>
      <c r="I6">
        <v>80</v>
      </c>
      <c r="J6" t="s">
        <v>353</v>
      </c>
      <c r="K6" t="s">
        <v>348</v>
      </c>
      <c r="L6" t="s">
        <v>359</v>
      </c>
    </row>
    <row r="7" spans="1:12" x14ac:dyDescent="0.25">
      <c r="A7" t="s">
        <v>300</v>
      </c>
      <c r="B7" t="s">
        <v>333</v>
      </c>
      <c r="C7">
        <v>81</v>
      </c>
      <c r="D7" t="str">
        <f t="shared" si="0"/>
        <v>B</v>
      </c>
      <c r="E7" t="str">
        <f t="shared" si="1"/>
        <v>Grant</v>
      </c>
      <c r="H7" t="s">
        <v>346</v>
      </c>
      <c r="I7">
        <v>90</v>
      </c>
      <c r="J7" t="s">
        <v>354</v>
      </c>
      <c r="K7" t="s">
        <v>347</v>
      </c>
      <c r="L7" t="s">
        <v>360</v>
      </c>
    </row>
    <row r="8" spans="1:12" x14ac:dyDescent="0.25">
      <c r="A8" t="s">
        <v>258</v>
      </c>
      <c r="B8" t="s">
        <v>331</v>
      </c>
      <c r="C8">
        <v>58</v>
      </c>
      <c r="D8" t="str">
        <f t="shared" si="0"/>
        <v>E</v>
      </c>
      <c r="E8" t="str">
        <f t="shared" si="1"/>
        <v>No grant</v>
      </c>
    </row>
    <row r="9" spans="1:12" x14ac:dyDescent="0.25">
      <c r="A9" t="s">
        <v>301</v>
      </c>
      <c r="B9" t="s">
        <v>332</v>
      </c>
      <c r="C9">
        <v>34</v>
      </c>
      <c r="D9" t="str">
        <f t="shared" si="0"/>
        <v>Fail</v>
      </c>
      <c r="E9" t="str">
        <f t="shared" si="1"/>
        <v>Rejection</v>
      </c>
    </row>
    <row r="10" spans="1:12" x14ac:dyDescent="0.25">
      <c r="A10" t="s">
        <v>260</v>
      </c>
      <c r="B10" t="s">
        <v>332</v>
      </c>
      <c r="C10">
        <v>17</v>
      </c>
      <c r="D10" t="str">
        <f t="shared" si="0"/>
        <v>Fail</v>
      </c>
      <c r="E10" t="str">
        <f t="shared" si="1"/>
        <v>Rejection</v>
      </c>
    </row>
    <row r="11" spans="1:12" x14ac:dyDescent="0.25">
      <c r="A11" t="s">
        <v>253</v>
      </c>
      <c r="B11" t="s">
        <v>333</v>
      </c>
      <c r="C11">
        <v>80</v>
      </c>
      <c r="D11" t="str">
        <f t="shared" si="0"/>
        <v>B</v>
      </c>
      <c r="E11" t="str">
        <f t="shared" si="1"/>
        <v>Grant</v>
      </c>
      <c r="H11" s="1" t="s">
        <v>367</v>
      </c>
      <c r="I11" s="1" t="s">
        <v>369</v>
      </c>
      <c r="J11" s="1" t="s">
        <v>189</v>
      </c>
      <c r="K11" s="1" t="s">
        <v>375</v>
      </c>
    </row>
    <row r="12" spans="1:12" x14ac:dyDescent="0.25">
      <c r="A12" t="s">
        <v>326</v>
      </c>
      <c r="B12" t="s">
        <v>331</v>
      </c>
      <c r="C12">
        <v>53</v>
      </c>
      <c r="D12" t="str">
        <f t="shared" si="0"/>
        <v>E</v>
      </c>
      <c r="E12" t="str">
        <f t="shared" si="1"/>
        <v>No grant</v>
      </c>
      <c r="H12" t="s">
        <v>368</v>
      </c>
      <c r="I12" t="s">
        <v>370</v>
      </c>
      <c r="J12">
        <v>100</v>
      </c>
      <c r="K12" t="s">
        <v>376</v>
      </c>
    </row>
    <row r="13" spans="1:12" x14ac:dyDescent="0.25">
      <c r="A13" t="s">
        <v>327</v>
      </c>
      <c r="B13" t="s">
        <v>332</v>
      </c>
      <c r="C13">
        <v>69</v>
      </c>
      <c r="D13" t="str">
        <f t="shared" si="0"/>
        <v>D</v>
      </c>
      <c r="E13" t="str">
        <f t="shared" si="1"/>
        <v>No grant</v>
      </c>
      <c r="H13" t="s">
        <v>372</v>
      </c>
      <c r="I13" t="s">
        <v>371</v>
      </c>
      <c r="J13">
        <v>69</v>
      </c>
      <c r="K13" t="s">
        <v>377</v>
      </c>
    </row>
    <row r="14" spans="1:12" x14ac:dyDescent="0.25">
      <c r="A14" t="s">
        <v>259</v>
      </c>
      <c r="B14" t="s">
        <v>333</v>
      </c>
      <c r="C14">
        <v>86</v>
      </c>
      <c r="D14" t="str">
        <f t="shared" si="0"/>
        <v>B</v>
      </c>
      <c r="E14" t="str">
        <f t="shared" si="1"/>
        <v>Grant</v>
      </c>
      <c r="H14" t="s">
        <v>373</v>
      </c>
      <c r="I14" t="s">
        <v>374</v>
      </c>
      <c r="J14">
        <v>49</v>
      </c>
      <c r="K14" t="s">
        <v>378</v>
      </c>
    </row>
    <row r="15" spans="1:12" x14ac:dyDescent="0.25">
      <c r="A15" t="s">
        <v>328</v>
      </c>
      <c r="B15" t="s">
        <v>331</v>
      </c>
      <c r="C15">
        <v>58</v>
      </c>
      <c r="D15" t="str">
        <f t="shared" si="0"/>
        <v>E</v>
      </c>
      <c r="E15" t="str">
        <f t="shared" si="1"/>
        <v>No grant</v>
      </c>
    </row>
    <row r="16" spans="1:12" x14ac:dyDescent="0.25">
      <c r="A16" t="s">
        <v>329</v>
      </c>
      <c r="B16" t="s">
        <v>331</v>
      </c>
      <c r="C16">
        <v>72</v>
      </c>
      <c r="D16" t="str">
        <f t="shared" si="0"/>
        <v>C</v>
      </c>
      <c r="E16" t="str">
        <f t="shared" si="1"/>
        <v>Grant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BCD1-EAC4-4E39-99AF-85312D23ACFC}">
  <dimension ref="A1:P104"/>
  <sheetViews>
    <sheetView topLeftCell="A3" zoomScale="120" zoomScaleNormal="120" workbookViewId="0">
      <selection activeCell="K15" sqref="K14:K15"/>
    </sheetView>
  </sheetViews>
  <sheetFormatPr defaultRowHeight="15" x14ac:dyDescent="0.25"/>
  <cols>
    <col min="8" max="8" width="4.42578125" customWidth="1"/>
    <col min="9" max="9" width="7.7109375" bestFit="1" customWidth="1"/>
    <col min="10" max="10" width="8.42578125" customWidth="1"/>
  </cols>
  <sheetData>
    <row r="1" spans="1:16" x14ac:dyDescent="0.25">
      <c r="A1" s="8" t="s">
        <v>381</v>
      </c>
    </row>
    <row r="2" spans="1:16" x14ac:dyDescent="0.25">
      <c r="A2" s="8" t="s">
        <v>380</v>
      </c>
    </row>
    <row r="3" spans="1:16" x14ac:dyDescent="0.25">
      <c r="M3" t="s">
        <v>291</v>
      </c>
      <c r="N3" t="s">
        <v>271</v>
      </c>
      <c r="O3" t="s">
        <v>0</v>
      </c>
      <c r="P3">
        <f t="shared" ref="P3:P11" si="0">SUMIFS(Sales,Name,M3,Month,N3,Product,O3)</f>
        <v>19361</v>
      </c>
    </row>
    <row r="4" spans="1:16" x14ac:dyDescent="0.25">
      <c r="A4" s="1" t="s">
        <v>252</v>
      </c>
      <c r="B4" s="1" t="s">
        <v>270</v>
      </c>
      <c r="C4" s="1" t="s">
        <v>220</v>
      </c>
      <c r="D4" s="1" t="s">
        <v>10</v>
      </c>
      <c r="E4" s="1" t="s">
        <v>218</v>
      </c>
      <c r="F4" s="1" t="s">
        <v>287</v>
      </c>
      <c r="G4" s="1" t="s">
        <v>217</v>
      </c>
      <c r="M4" t="s">
        <v>291</v>
      </c>
      <c r="N4" t="s">
        <v>272</v>
      </c>
      <c r="O4" t="s">
        <v>0</v>
      </c>
      <c r="P4">
        <f t="shared" si="0"/>
        <v>95526</v>
      </c>
    </row>
    <row r="5" spans="1:16" x14ac:dyDescent="0.25">
      <c r="A5" t="s">
        <v>291</v>
      </c>
      <c r="B5" t="s">
        <v>271</v>
      </c>
      <c r="C5" t="s">
        <v>225</v>
      </c>
      <c r="D5" t="s">
        <v>2</v>
      </c>
      <c r="E5">
        <v>10107</v>
      </c>
      <c r="F5">
        <v>2021.4</v>
      </c>
      <c r="G5">
        <v>45673</v>
      </c>
      <c r="I5" t="s">
        <v>291</v>
      </c>
      <c r="J5">
        <f>SUMIF(Name,I5,Sales)</f>
        <v>688559</v>
      </c>
      <c r="M5" t="s">
        <v>291</v>
      </c>
      <c r="N5" t="s">
        <v>273</v>
      </c>
      <c r="O5" t="s">
        <v>0</v>
      </c>
      <c r="P5">
        <f t="shared" si="0"/>
        <v>78165</v>
      </c>
    </row>
    <row r="6" spans="1:16" x14ac:dyDescent="0.25">
      <c r="A6" t="s">
        <v>292</v>
      </c>
      <c r="B6" t="s">
        <v>271</v>
      </c>
      <c r="C6" t="s">
        <v>223</v>
      </c>
      <c r="D6" t="s">
        <v>1</v>
      </c>
      <c r="E6">
        <v>34572</v>
      </c>
      <c r="F6">
        <v>6914.4</v>
      </c>
      <c r="G6">
        <v>45684</v>
      </c>
      <c r="I6" t="s">
        <v>292</v>
      </c>
      <c r="J6">
        <f>SUMIF(Name,I6,Sales)</f>
        <v>540112</v>
      </c>
      <c r="M6" t="s">
        <v>291</v>
      </c>
      <c r="N6" t="s">
        <v>271</v>
      </c>
      <c r="O6" t="s">
        <v>1</v>
      </c>
      <c r="P6">
        <f t="shared" si="0"/>
        <v>86218</v>
      </c>
    </row>
    <row r="7" spans="1:16" x14ac:dyDescent="0.25">
      <c r="A7" t="s">
        <v>289</v>
      </c>
      <c r="B7" t="s">
        <v>272</v>
      </c>
      <c r="C7" t="s">
        <v>227</v>
      </c>
      <c r="D7" t="s">
        <v>2</v>
      </c>
      <c r="E7">
        <v>23026</v>
      </c>
      <c r="F7">
        <v>4144.68</v>
      </c>
      <c r="G7">
        <v>45715</v>
      </c>
      <c r="I7" t="s">
        <v>289</v>
      </c>
      <c r="J7">
        <f>SUMIF(Name,I7,Sales)</f>
        <v>722482</v>
      </c>
      <c r="M7" t="s">
        <v>291</v>
      </c>
      <c r="N7" t="s">
        <v>272</v>
      </c>
      <c r="O7" t="s">
        <v>1</v>
      </c>
      <c r="P7">
        <f t="shared" si="0"/>
        <v>73709</v>
      </c>
    </row>
    <row r="8" spans="1:16" x14ac:dyDescent="0.25">
      <c r="A8" t="s">
        <v>289</v>
      </c>
      <c r="B8" t="s">
        <v>271</v>
      </c>
      <c r="C8" t="s">
        <v>293</v>
      </c>
      <c r="D8" t="s">
        <v>2</v>
      </c>
      <c r="E8">
        <v>24153</v>
      </c>
      <c r="F8">
        <v>6762.84</v>
      </c>
      <c r="G8">
        <v>45662</v>
      </c>
      <c r="M8" t="s">
        <v>291</v>
      </c>
      <c r="N8" t="s">
        <v>273</v>
      </c>
      <c r="O8" t="s">
        <v>1</v>
      </c>
      <c r="P8">
        <f t="shared" si="0"/>
        <v>61095</v>
      </c>
    </row>
    <row r="9" spans="1:16" x14ac:dyDescent="0.25">
      <c r="A9" t="s">
        <v>289</v>
      </c>
      <c r="B9" t="s">
        <v>272</v>
      </c>
      <c r="C9" t="s">
        <v>227</v>
      </c>
      <c r="D9" t="s">
        <v>0</v>
      </c>
      <c r="E9">
        <v>39752</v>
      </c>
      <c r="F9">
        <v>6757.84</v>
      </c>
      <c r="G9">
        <v>45690</v>
      </c>
      <c r="I9" t="s">
        <v>291</v>
      </c>
      <c r="J9" t="s">
        <v>271</v>
      </c>
      <c r="K9">
        <f>SUMIFS(Sales,Name,I9,Month,J9)</f>
        <v>207239</v>
      </c>
      <c r="M9" t="s">
        <v>291</v>
      </c>
      <c r="N9" t="s">
        <v>271</v>
      </c>
      <c r="O9" t="s">
        <v>2</v>
      </c>
      <c r="P9">
        <f t="shared" si="0"/>
        <v>101660</v>
      </c>
    </row>
    <row r="10" spans="1:16" x14ac:dyDescent="0.25">
      <c r="A10" t="s">
        <v>291</v>
      </c>
      <c r="B10" t="s">
        <v>273</v>
      </c>
      <c r="C10" t="s">
        <v>225</v>
      </c>
      <c r="D10" t="s">
        <v>2</v>
      </c>
      <c r="E10">
        <v>13702</v>
      </c>
      <c r="F10">
        <v>959.14</v>
      </c>
      <c r="G10">
        <v>45722</v>
      </c>
      <c r="I10" t="s">
        <v>291</v>
      </c>
      <c r="J10" t="s">
        <v>272</v>
      </c>
      <c r="K10">
        <f>SUMIFS(Sales,Name,I10,Month,J10)</f>
        <v>236989</v>
      </c>
      <c r="M10" t="s">
        <v>291</v>
      </c>
      <c r="N10" t="s">
        <v>272</v>
      </c>
      <c r="O10" t="s">
        <v>2</v>
      </c>
      <c r="P10">
        <f t="shared" si="0"/>
        <v>67754</v>
      </c>
    </row>
    <row r="11" spans="1:16" x14ac:dyDescent="0.25">
      <c r="A11" t="s">
        <v>291</v>
      </c>
      <c r="B11" t="s">
        <v>272</v>
      </c>
      <c r="C11" t="s">
        <v>290</v>
      </c>
      <c r="D11" t="s">
        <v>0</v>
      </c>
      <c r="E11">
        <v>16726</v>
      </c>
      <c r="F11">
        <v>836.3</v>
      </c>
      <c r="G11">
        <v>45708</v>
      </c>
      <c r="I11" t="s">
        <v>291</v>
      </c>
      <c r="J11" t="s">
        <v>273</v>
      </c>
      <c r="K11">
        <f>SUMIFS(Sales,Name,I11,Month,J11)</f>
        <v>244331</v>
      </c>
      <c r="M11" t="s">
        <v>291</v>
      </c>
      <c r="N11" t="s">
        <v>273</v>
      </c>
      <c r="O11" t="s">
        <v>2</v>
      </c>
      <c r="P11">
        <f t="shared" si="0"/>
        <v>105071</v>
      </c>
    </row>
    <row r="12" spans="1:16" x14ac:dyDescent="0.25">
      <c r="A12" t="s">
        <v>288</v>
      </c>
      <c r="B12" t="s">
        <v>272</v>
      </c>
      <c r="C12" t="s">
        <v>223</v>
      </c>
      <c r="D12" t="s">
        <v>2</v>
      </c>
      <c r="E12">
        <v>14606</v>
      </c>
      <c r="F12">
        <v>2921.2</v>
      </c>
      <c r="G12">
        <v>45706</v>
      </c>
    </row>
    <row r="13" spans="1:16" x14ac:dyDescent="0.25">
      <c r="A13" t="s">
        <v>292</v>
      </c>
      <c r="B13" t="s">
        <v>272</v>
      </c>
      <c r="C13" t="s">
        <v>223</v>
      </c>
      <c r="D13" t="s">
        <v>1</v>
      </c>
      <c r="E13">
        <v>27750</v>
      </c>
      <c r="F13">
        <v>7215</v>
      </c>
      <c r="G13">
        <v>45707</v>
      </c>
      <c r="J13" t="s">
        <v>13</v>
      </c>
      <c r="K13">
        <f>SUM(Sales)</f>
        <v>2573822</v>
      </c>
    </row>
    <row r="14" spans="1:16" x14ac:dyDescent="0.25">
      <c r="A14" t="s">
        <v>288</v>
      </c>
      <c r="B14" t="s">
        <v>271</v>
      </c>
      <c r="C14" t="s">
        <v>290</v>
      </c>
      <c r="D14" t="s">
        <v>1</v>
      </c>
      <c r="E14">
        <v>19238</v>
      </c>
      <c r="F14">
        <v>4232.3599999999997</v>
      </c>
      <c r="G14">
        <v>45664</v>
      </c>
      <c r="J14" t="s">
        <v>394</v>
      </c>
      <c r="K14" t="s">
        <v>396</v>
      </c>
    </row>
    <row r="15" spans="1:16" x14ac:dyDescent="0.25">
      <c r="A15" t="s">
        <v>291</v>
      </c>
      <c r="B15" t="s">
        <v>273</v>
      </c>
      <c r="C15" t="s">
        <v>290</v>
      </c>
      <c r="D15" t="s">
        <v>2</v>
      </c>
      <c r="E15">
        <v>32426</v>
      </c>
      <c r="F15">
        <v>9403.5400000000009</v>
      </c>
      <c r="G15">
        <v>45739</v>
      </c>
      <c r="J15" t="s">
        <v>395</v>
      </c>
      <c r="K15">
        <f>SUMIF(Sales,J15)</f>
        <v>464248</v>
      </c>
    </row>
    <row r="16" spans="1:16" x14ac:dyDescent="0.25">
      <c r="A16" t="s">
        <v>291</v>
      </c>
      <c r="B16" t="s">
        <v>273</v>
      </c>
      <c r="C16" t="s">
        <v>225</v>
      </c>
      <c r="D16" t="s">
        <v>2</v>
      </c>
      <c r="E16">
        <v>33943</v>
      </c>
      <c r="F16">
        <v>4412.59</v>
      </c>
      <c r="G16">
        <v>45718</v>
      </c>
    </row>
    <row r="17" spans="1:7" x14ac:dyDescent="0.25">
      <c r="A17" t="s">
        <v>292</v>
      </c>
      <c r="B17" t="s">
        <v>272</v>
      </c>
      <c r="C17" t="s">
        <v>225</v>
      </c>
      <c r="D17" t="s">
        <v>1</v>
      </c>
      <c r="E17">
        <v>38693</v>
      </c>
      <c r="F17">
        <v>8899.39</v>
      </c>
      <c r="G17">
        <v>45705</v>
      </c>
    </row>
    <row r="18" spans="1:7" x14ac:dyDescent="0.25">
      <c r="A18" t="s">
        <v>291</v>
      </c>
      <c r="B18" t="s">
        <v>272</v>
      </c>
      <c r="C18" t="s">
        <v>290</v>
      </c>
      <c r="D18" t="s">
        <v>1</v>
      </c>
      <c r="E18">
        <v>22964</v>
      </c>
      <c r="F18">
        <v>1607.48</v>
      </c>
      <c r="G18">
        <v>45705</v>
      </c>
    </row>
    <row r="19" spans="1:7" x14ac:dyDescent="0.25">
      <c r="A19" t="s">
        <v>291</v>
      </c>
      <c r="B19" t="s">
        <v>272</v>
      </c>
      <c r="C19" t="s">
        <v>225</v>
      </c>
      <c r="D19" t="s">
        <v>2</v>
      </c>
      <c r="E19">
        <v>28527</v>
      </c>
      <c r="F19">
        <v>6846.48</v>
      </c>
      <c r="G19">
        <v>45701</v>
      </c>
    </row>
    <row r="20" spans="1:7" x14ac:dyDescent="0.25">
      <c r="A20" t="s">
        <v>289</v>
      </c>
      <c r="B20" t="s">
        <v>272</v>
      </c>
      <c r="C20" t="s">
        <v>223</v>
      </c>
      <c r="D20" t="s">
        <v>2</v>
      </c>
      <c r="E20">
        <v>21575</v>
      </c>
      <c r="F20">
        <v>3020.5</v>
      </c>
      <c r="G20">
        <v>45705</v>
      </c>
    </row>
    <row r="21" spans="1:7" x14ac:dyDescent="0.25">
      <c r="A21" t="s">
        <v>289</v>
      </c>
      <c r="B21" t="s">
        <v>271</v>
      </c>
      <c r="C21" t="s">
        <v>225</v>
      </c>
      <c r="D21" t="s">
        <v>1</v>
      </c>
      <c r="E21">
        <v>39387</v>
      </c>
      <c r="F21">
        <v>11422.23</v>
      </c>
      <c r="G21">
        <v>45677</v>
      </c>
    </row>
    <row r="22" spans="1:7" x14ac:dyDescent="0.25">
      <c r="A22" t="s">
        <v>292</v>
      </c>
      <c r="B22" t="s">
        <v>273</v>
      </c>
      <c r="C22" t="s">
        <v>227</v>
      </c>
      <c r="D22" t="s">
        <v>0</v>
      </c>
      <c r="E22">
        <v>32806</v>
      </c>
      <c r="F22">
        <v>4264.78</v>
      </c>
      <c r="G22">
        <v>45726</v>
      </c>
    </row>
    <row r="23" spans="1:7" x14ac:dyDescent="0.25">
      <c r="A23" t="s">
        <v>288</v>
      </c>
      <c r="B23" t="s">
        <v>271</v>
      </c>
      <c r="C23" t="s">
        <v>227</v>
      </c>
      <c r="D23" t="s">
        <v>2</v>
      </c>
      <c r="E23">
        <v>39047</v>
      </c>
      <c r="F23">
        <v>3514.23</v>
      </c>
      <c r="G23">
        <v>45688</v>
      </c>
    </row>
    <row r="24" spans="1:7" x14ac:dyDescent="0.25">
      <c r="A24" t="s">
        <v>289</v>
      </c>
      <c r="B24" t="s">
        <v>272</v>
      </c>
      <c r="C24" t="s">
        <v>223</v>
      </c>
      <c r="D24" t="s">
        <v>0</v>
      </c>
      <c r="E24">
        <v>27577</v>
      </c>
      <c r="F24">
        <v>1930.39</v>
      </c>
      <c r="G24">
        <v>45700</v>
      </c>
    </row>
    <row r="25" spans="1:7" x14ac:dyDescent="0.25">
      <c r="A25" t="s">
        <v>291</v>
      </c>
      <c r="B25" t="s">
        <v>273</v>
      </c>
      <c r="C25" t="s">
        <v>293</v>
      </c>
      <c r="D25" t="s">
        <v>1</v>
      </c>
      <c r="E25">
        <v>32575</v>
      </c>
      <c r="F25">
        <v>1628.75</v>
      </c>
      <c r="G25">
        <v>45721</v>
      </c>
    </row>
    <row r="26" spans="1:7" x14ac:dyDescent="0.25">
      <c r="A26" t="s">
        <v>292</v>
      </c>
      <c r="B26" t="s">
        <v>271</v>
      </c>
      <c r="C26" t="s">
        <v>290</v>
      </c>
      <c r="D26" t="s">
        <v>2</v>
      </c>
      <c r="E26">
        <v>10380</v>
      </c>
      <c r="F26">
        <v>622.79999999999995</v>
      </c>
      <c r="G26">
        <v>45669</v>
      </c>
    </row>
    <row r="27" spans="1:7" x14ac:dyDescent="0.25">
      <c r="A27" t="s">
        <v>292</v>
      </c>
      <c r="B27" t="s">
        <v>273</v>
      </c>
      <c r="C27" t="s">
        <v>227</v>
      </c>
      <c r="D27" t="s">
        <v>1</v>
      </c>
      <c r="E27">
        <v>13009</v>
      </c>
      <c r="F27">
        <v>2601.8000000000002</v>
      </c>
      <c r="G27">
        <v>45731</v>
      </c>
    </row>
    <row r="28" spans="1:7" x14ac:dyDescent="0.25">
      <c r="A28" t="s">
        <v>289</v>
      </c>
      <c r="B28" t="s">
        <v>271</v>
      </c>
      <c r="C28" t="s">
        <v>223</v>
      </c>
      <c r="D28" t="s">
        <v>1</v>
      </c>
      <c r="E28">
        <v>10529</v>
      </c>
      <c r="F28">
        <v>842.32</v>
      </c>
      <c r="G28">
        <v>45674</v>
      </c>
    </row>
    <row r="29" spans="1:7" x14ac:dyDescent="0.25">
      <c r="A29" t="s">
        <v>288</v>
      </c>
      <c r="B29" t="s">
        <v>272</v>
      </c>
      <c r="C29" t="s">
        <v>290</v>
      </c>
      <c r="D29" t="s">
        <v>1</v>
      </c>
      <c r="E29">
        <v>14635</v>
      </c>
      <c r="F29">
        <v>3512.4</v>
      </c>
      <c r="G29">
        <v>45692</v>
      </c>
    </row>
    <row r="30" spans="1:7" x14ac:dyDescent="0.25">
      <c r="A30" t="s">
        <v>289</v>
      </c>
      <c r="B30" t="s">
        <v>271</v>
      </c>
      <c r="C30" t="s">
        <v>223</v>
      </c>
      <c r="D30" t="s">
        <v>0</v>
      </c>
      <c r="E30">
        <v>30972</v>
      </c>
      <c r="F30">
        <v>7743</v>
      </c>
      <c r="G30">
        <v>45682</v>
      </c>
    </row>
    <row r="31" spans="1:7" x14ac:dyDescent="0.25">
      <c r="A31" t="s">
        <v>288</v>
      </c>
      <c r="B31" t="s">
        <v>273</v>
      </c>
      <c r="C31" t="s">
        <v>293</v>
      </c>
      <c r="D31" t="s">
        <v>1</v>
      </c>
      <c r="E31">
        <v>38386</v>
      </c>
      <c r="F31">
        <v>2687.02</v>
      </c>
      <c r="G31">
        <v>45721</v>
      </c>
    </row>
    <row r="32" spans="1:7" x14ac:dyDescent="0.25">
      <c r="A32" t="s">
        <v>289</v>
      </c>
      <c r="B32" t="s">
        <v>272</v>
      </c>
      <c r="C32" t="s">
        <v>293</v>
      </c>
      <c r="D32" t="s">
        <v>1</v>
      </c>
      <c r="E32">
        <v>27281</v>
      </c>
      <c r="F32">
        <v>5456.2</v>
      </c>
      <c r="G32">
        <v>45707</v>
      </c>
    </row>
    <row r="33" spans="1:7" x14ac:dyDescent="0.25">
      <c r="A33" t="s">
        <v>289</v>
      </c>
      <c r="B33" t="s">
        <v>271</v>
      </c>
      <c r="C33" t="s">
        <v>225</v>
      </c>
      <c r="D33" t="s">
        <v>1</v>
      </c>
      <c r="E33">
        <v>29384</v>
      </c>
      <c r="F33">
        <v>1763.04</v>
      </c>
      <c r="G33">
        <v>45673</v>
      </c>
    </row>
    <row r="34" spans="1:7" x14ac:dyDescent="0.25">
      <c r="A34" t="s">
        <v>292</v>
      </c>
      <c r="B34" t="s">
        <v>273</v>
      </c>
      <c r="C34" t="s">
        <v>293</v>
      </c>
      <c r="D34" t="s">
        <v>0</v>
      </c>
      <c r="E34">
        <v>18080</v>
      </c>
      <c r="F34">
        <v>1988.8</v>
      </c>
      <c r="G34">
        <v>45746</v>
      </c>
    </row>
    <row r="35" spans="1:7" x14ac:dyDescent="0.25">
      <c r="A35" t="s">
        <v>289</v>
      </c>
      <c r="B35" t="s">
        <v>271</v>
      </c>
      <c r="C35" t="s">
        <v>290</v>
      </c>
      <c r="D35" t="s">
        <v>2</v>
      </c>
      <c r="E35">
        <v>35593</v>
      </c>
      <c r="F35">
        <v>6762.67</v>
      </c>
      <c r="G35">
        <v>45660</v>
      </c>
    </row>
    <row r="36" spans="1:7" x14ac:dyDescent="0.25">
      <c r="A36" t="s">
        <v>288</v>
      </c>
      <c r="B36" t="s">
        <v>271</v>
      </c>
      <c r="C36" t="s">
        <v>227</v>
      </c>
      <c r="D36" t="s">
        <v>0</v>
      </c>
      <c r="E36">
        <v>33258</v>
      </c>
      <c r="F36">
        <v>2993.22</v>
      </c>
      <c r="G36">
        <v>45678</v>
      </c>
    </row>
    <row r="37" spans="1:7" x14ac:dyDescent="0.25">
      <c r="A37" t="s">
        <v>292</v>
      </c>
      <c r="B37" t="s">
        <v>271</v>
      </c>
      <c r="C37" t="s">
        <v>227</v>
      </c>
      <c r="D37" t="s">
        <v>1</v>
      </c>
      <c r="E37">
        <v>38992</v>
      </c>
      <c r="F37">
        <v>4679.04</v>
      </c>
      <c r="G37">
        <v>45658</v>
      </c>
    </row>
    <row r="38" spans="1:7" x14ac:dyDescent="0.25">
      <c r="A38" t="s">
        <v>288</v>
      </c>
      <c r="B38" t="s">
        <v>271</v>
      </c>
      <c r="C38" t="s">
        <v>227</v>
      </c>
      <c r="D38" t="s">
        <v>2</v>
      </c>
      <c r="E38">
        <v>13547</v>
      </c>
      <c r="F38">
        <v>1490.17</v>
      </c>
      <c r="G38">
        <v>45677</v>
      </c>
    </row>
    <row r="39" spans="1:7" x14ac:dyDescent="0.25">
      <c r="A39" t="s">
        <v>292</v>
      </c>
      <c r="B39" t="s">
        <v>271</v>
      </c>
      <c r="C39" t="s">
        <v>225</v>
      </c>
      <c r="D39" t="s">
        <v>1</v>
      </c>
      <c r="E39">
        <v>36092</v>
      </c>
      <c r="F39">
        <v>6857.48</v>
      </c>
      <c r="G39">
        <v>45673</v>
      </c>
    </row>
    <row r="40" spans="1:7" x14ac:dyDescent="0.25">
      <c r="A40" t="s">
        <v>291</v>
      </c>
      <c r="B40" t="s">
        <v>271</v>
      </c>
      <c r="C40" t="s">
        <v>225</v>
      </c>
      <c r="D40" t="s">
        <v>2</v>
      </c>
      <c r="E40">
        <v>31964</v>
      </c>
      <c r="F40">
        <v>4155.32</v>
      </c>
      <c r="G40">
        <v>45665</v>
      </c>
    </row>
    <row r="41" spans="1:7" x14ac:dyDescent="0.25">
      <c r="A41" t="s">
        <v>288</v>
      </c>
      <c r="B41" t="s">
        <v>271</v>
      </c>
      <c r="C41" t="s">
        <v>293</v>
      </c>
      <c r="D41" t="s">
        <v>0</v>
      </c>
      <c r="E41">
        <v>23710</v>
      </c>
      <c r="F41">
        <v>6164.6</v>
      </c>
      <c r="G41">
        <v>45684</v>
      </c>
    </row>
    <row r="42" spans="1:7" x14ac:dyDescent="0.25">
      <c r="A42" t="s">
        <v>289</v>
      </c>
      <c r="B42" t="s">
        <v>271</v>
      </c>
      <c r="C42" t="s">
        <v>227</v>
      </c>
      <c r="D42" t="s">
        <v>0</v>
      </c>
      <c r="E42">
        <v>32093</v>
      </c>
      <c r="F42">
        <v>3530.23</v>
      </c>
      <c r="G42">
        <v>45666</v>
      </c>
    </row>
    <row r="43" spans="1:7" x14ac:dyDescent="0.25">
      <c r="A43" t="s">
        <v>292</v>
      </c>
      <c r="B43" t="s">
        <v>271</v>
      </c>
      <c r="C43" t="s">
        <v>290</v>
      </c>
      <c r="D43" t="s">
        <v>2</v>
      </c>
      <c r="E43">
        <v>28973</v>
      </c>
      <c r="F43">
        <v>6663.79</v>
      </c>
      <c r="G43">
        <v>45665</v>
      </c>
    </row>
    <row r="44" spans="1:7" x14ac:dyDescent="0.25">
      <c r="A44" t="s">
        <v>289</v>
      </c>
      <c r="B44" t="s">
        <v>272</v>
      </c>
      <c r="C44" t="s">
        <v>227</v>
      </c>
      <c r="D44" t="s">
        <v>0</v>
      </c>
      <c r="E44">
        <v>36163</v>
      </c>
      <c r="F44">
        <v>1808.15</v>
      </c>
      <c r="G44">
        <v>45704</v>
      </c>
    </row>
    <row r="45" spans="1:7" x14ac:dyDescent="0.25">
      <c r="A45" t="s">
        <v>289</v>
      </c>
      <c r="B45" t="s">
        <v>273</v>
      </c>
      <c r="C45" t="s">
        <v>225</v>
      </c>
      <c r="D45" t="s">
        <v>2</v>
      </c>
      <c r="E45">
        <v>37193</v>
      </c>
      <c r="F45">
        <v>8554.39</v>
      </c>
      <c r="G45">
        <v>45727</v>
      </c>
    </row>
    <row r="46" spans="1:7" x14ac:dyDescent="0.25">
      <c r="A46" t="s">
        <v>291</v>
      </c>
      <c r="B46" t="s">
        <v>273</v>
      </c>
      <c r="C46" t="s">
        <v>290</v>
      </c>
      <c r="D46" t="s">
        <v>0</v>
      </c>
      <c r="E46">
        <v>14328</v>
      </c>
      <c r="F46">
        <v>2865.6</v>
      </c>
      <c r="G46">
        <v>45735</v>
      </c>
    </row>
    <row r="47" spans="1:7" x14ac:dyDescent="0.25">
      <c r="A47" t="s">
        <v>292</v>
      </c>
      <c r="B47" t="s">
        <v>273</v>
      </c>
      <c r="C47" t="s">
        <v>227</v>
      </c>
      <c r="D47" t="s">
        <v>0</v>
      </c>
      <c r="E47">
        <v>21329</v>
      </c>
      <c r="F47">
        <v>3199.35</v>
      </c>
      <c r="G47">
        <v>45720</v>
      </c>
    </row>
    <row r="48" spans="1:7" x14ac:dyDescent="0.25">
      <c r="A48" t="s">
        <v>289</v>
      </c>
      <c r="B48" t="s">
        <v>271</v>
      </c>
      <c r="C48" t="s">
        <v>227</v>
      </c>
      <c r="D48" t="s">
        <v>2</v>
      </c>
      <c r="E48">
        <v>33285</v>
      </c>
      <c r="F48">
        <v>9652.65</v>
      </c>
      <c r="G48">
        <v>45682</v>
      </c>
    </row>
    <row r="49" spans="1:7" x14ac:dyDescent="0.25">
      <c r="A49" t="s">
        <v>291</v>
      </c>
      <c r="B49" t="s">
        <v>271</v>
      </c>
      <c r="C49" t="s">
        <v>227</v>
      </c>
      <c r="D49" t="s">
        <v>1</v>
      </c>
      <c r="E49">
        <v>22592</v>
      </c>
      <c r="F49">
        <v>5648</v>
      </c>
      <c r="G49">
        <v>45685</v>
      </c>
    </row>
    <row r="50" spans="1:7" x14ac:dyDescent="0.25">
      <c r="A50" t="s">
        <v>292</v>
      </c>
      <c r="B50" t="s">
        <v>273</v>
      </c>
      <c r="C50" t="s">
        <v>223</v>
      </c>
      <c r="D50" t="s">
        <v>0</v>
      </c>
      <c r="E50">
        <v>11690</v>
      </c>
      <c r="F50">
        <v>3273.2</v>
      </c>
      <c r="G50">
        <v>45735</v>
      </c>
    </row>
    <row r="51" spans="1:7" x14ac:dyDescent="0.25">
      <c r="A51" t="s">
        <v>292</v>
      </c>
      <c r="B51" t="s">
        <v>273</v>
      </c>
      <c r="C51" t="s">
        <v>293</v>
      </c>
      <c r="D51" t="s">
        <v>2</v>
      </c>
      <c r="E51">
        <v>18783</v>
      </c>
      <c r="F51">
        <v>4132.26</v>
      </c>
      <c r="G51">
        <v>45743</v>
      </c>
    </row>
    <row r="52" spans="1:7" x14ac:dyDescent="0.25">
      <c r="A52" t="s">
        <v>288</v>
      </c>
      <c r="B52" t="s">
        <v>272</v>
      </c>
      <c r="C52" t="s">
        <v>223</v>
      </c>
      <c r="D52" t="s">
        <v>0</v>
      </c>
      <c r="E52">
        <v>37849</v>
      </c>
      <c r="F52">
        <v>2270.94</v>
      </c>
      <c r="G52">
        <v>45690</v>
      </c>
    </row>
    <row r="53" spans="1:7" x14ac:dyDescent="0.25">
      <c r="A53" t="s">
        <v>288</v>
      </c>
      <c r="B53" t="s">
        <v>272</v>
      </c>
      <c r="C53" t="s">
        <v>225</v>
      </c>
      <c r="D53" t="s">
        <v>2</v>
      </c>
      <c r="E53">
        <v>37548</v>
      </c>
      <c r="F53">
        <v>11264.4</v>
      </c>
      <c r="G53">
        <v>45700</v>
      </c>
    </row>
    <row r="54" spans="1:7" x14ac:dyDescent="0.25">
      <c r="A54" t="s">
        <v>291</v>
      </c>
      <c r="B54" t="s">
        <v>273</v>
      </c>
      <c r="C54" t="s">
        <v>223</v>
      </c>
      <c r="D54" t="s">
        <v>1</v>
      </c>
      <c r="E54">
        <v>28520</v>
      </c>
      <c r="F54">
        <v>5989.2</v>
      </c>
      <c r="G54">
        <v>45726</v>
      </c>
    </row>
    <row r="55" spans="1:7" x14ac:dyDescent="0.25">
      <c r="A55" t="s">
        <v>288</v>
      </c>
      <c r="B55" t="s">
        <v>272</v>
      </c>
      <c r="C55" t="s">
        <v>223</v>
      </c>
      <c r="D55" t="s">
        <v>2</v>
      </c>
      <c r="E55">
        <v>31125</v>
      </c>
      <c r="F55">
        <v>3735</v>
      </c>
      <c r="G55">
        <v>45712</v>
      </c>
    </row>
    <row r="56" spans="1:7" x14ac:dyDescent="0.25">
      <c r="A56" t="s">
        <v>292</v>
      </c>
      <c r="B56" t="s">
        <v>272</v>
      </c>
      <c r="C56" t="s">
        <v>223</v>
      </c>
      <c r="D56" t="s">
        <v>2</v>
      </c>
      <c r="E56">
        <v>33232</v>
      </c>
      <c r="F56">
        <v>4320.16</v>
      </c>
      <c r="G56">
        <v>45707</v>
      </c>
    </row>
    <row r="57" spans="1:7" x14ac:dyDescent="0.25">
      <c r="A57" t="s">
        <v>289</v>
      </c>
      <c r="B57" t="s">
        <v>271</v>
      </c>
      <c r="C57" t="s">
        <v>293</v>
      </c>
      <c r="D57" t="s">
        <v>2</v>
      </c>
      <c r="E57">
        <v>13155</v>
      </c>
      <c r="F57">
        <v>789.3</v>
      </c>
      <c r="G57">
        <v>45680</v>
      </c>
    </row>
    <row r="58" spans="1:7" x14ac:dyDescent="0.25">
      <c r="A58" t="s">
        <v>292</v>
      </c>
      <c r="B58" t="s">
        <v>272</v>
      </c>
      <c r="C58" t="s">
        <v>293</v>
      </c>
      <c r="D58" t="s">
        <v>0</v>
      </c>
      <c r="E58">
        <v>13055</v>
      </c>
      <c r="F58">
        <v>3002.65</v>
      </c>
      <c r="G58">
        <v>45705</v>
      </c>
    </row>
    <row r="59" spans="1:7" x14ac:dyDescent="0.25">
      <c r="A59" t="s">
        <v>291</v>
      </c>
      <c r="B59" t="s">
        <v>272</v>
      </c>
      <c r="C59" t="s">
        <v>223</v>
      </c>
      <c r="D59" t="s">
        <v>0</v>
      </c>
      <c r="E59">
        <v>19099</v>
      </c>
      <c r="F59">
        <v>954.95</v>
      </c>
      <c r="G59">
        <v>45691</v>
      </c>
    </row>
    <row r="60" spans="1:7" x14ac:dyDescent="0.25">
      <c r="A60" t="s">
        <v>291</v>
      </c>
      <c r="B60" t="s">
        <v>273</v>
      </c>
      <c r="C60" t="s">
        <v>223</v>
      </c>
      <c r="D60" t="s">
        <v>2</v>
      </c>
      <c r="E60">
        <v>25000</v>
      </c>
      <c r="F60">
        <v>1750</v>
      </c>
      <c r="G60">
        <v>45735</v>
      </c>
    </row>
    <row r="61" spans="1:7" x14ac:dyDescent="0.25">
      <c r="A61" t="s">
        <v>292</v>
      </c>
      <c r="B61" t="s">
        <v>273</v>
      </c>
      <c r="C61" t="s">
        <v>227</v>
      </c>
      <c r="D61" t="s">
        <v>1</v>
      </c>
      <c r="E61">
        <v>26388</v>
      </c>
      <c r="F61">
        <v>2111.04</v>
      </c>
      <c r="G61">
        <v>45741</v>
      </c>
    </row>
    <row r="62" spans="1:7" x14ac:dyDescent="0.25">
      <c r="A62" t="s">
        <v>291</v>
      </c>
      <c r="B62" t="s">
        <v>273</v>
      </c>
      <c r="C62" t="s">
        <v>293</v>
      </c>
      <c r="D62" t="s">
        <v>0</v>
      </c>
      <c r="E62">
        <v>24126</v>
      </c>
      <c r="F62">
        <v>3618.9</v>
      </c>
      <c r="G62">
        <v>45723</v>
      </c>
    </row>
    <row r="63" spans="1:7" x14ac:dyDescent="0.25">
      <c r="A63" t="s">
        <v>292</v>
      </c>
      <c r="B63" t="s">
        <v>271</v>
      </c>
      <c r="C63" t="s">
        <v>290</v>
      </c>
      <c r="D63" t="s">
        <v>0</v>
      </c>
      <c r="E63">
        <v>32605</v>
      </c>
      <c r="F63">
        <v>9781.5</v>
      </c>
      <c r="G63">
        <v>45681</v>
      </c>
    </row>
    <row r="64" spans="1:7" x14ac:dyDescent="0.25">
      <c r="A64" t="s">
        <v>291</v>
      </c>
      <c r="B64" t="s">
        <v>272</v>
      </c>
      <c r="C64" t="s">
        <v>227</v>
      </c>
      <c r="D64" t="s">
        <v>1</v>
      </c>
      <c r="E64">
        <v>35157</v>
      </c>
      <c r="F64">
        <v>5625.12</v>
      </c>
      <c r="G64">
        <v>45701</v>
      </c>
    </row>
    <row r="65" spans="1:7" x14ac:dyDescent="0.25">
      <c r="A65" t="s">
        <v>289</v>
      </c>
      <c r="B65" t="s">
        <v>273</v>
      </c>
      <c r="C65" t="s">
        <v>290</v>
      </c>
      <c r="D65" t="s">
        <v>2</v>
      </c>
      <c r="E65">
        <v>26938</v>
      </c>
      <c r="F65">
        <v>4310.08</v>
      </c>
      <c r="G65">
        <v>45729</v>
      </c>
    </row>
    <row r="66" spans="1:7" x14ac:dyDescent="0.25">
      <c r="A66" t="s">
        <v>289</v>
      </c>
      <c r="B66" t="s">
        <v>272</v>
      </c>
      <c r="C66" t="s">
        <v>227</v>
      </c>
      <c r="D66" t="s">
        <v>2</v>
      </c>
      <c r="E66">
        <v>23140</v>
      </c>
      <c r="F66">
        <v>3239.6</v>
      </c>
      <c r="G66">
        <v>45712</v>
      </c>
    </row>
    <row r="67" spans="1:7" x14ac:dyDescent="0.25">
      <c r="A67" t="s">
        <v>291</v>
      </c>
      <c r="B67" t="s">
        <v>273</v>
      </c>
      <c r="C67" t="s">
        <v>293</v>
      </c>
      <c r="D67" t="s">
        <v>0</v>
      </c>
      <c r="E67">
        <v>39711</v>
      </c>
      <c r="F67">
        <v>6353.76</v>
      </c>
      <c r="G67">
        <v>45741</v>
      </c>
    </row>
    <row r="68" spans="1:7" x14ac:dyDescent="0.25">
      <c r="A68" t="s">
        <v>291</v>
      </c>
      <c r="B68" t="s">
        <v>271</v>
      </c>
      <c r="C68" t="s">
        <v>227</v>
      </c>
      <c r="D68" t="s">
        <v>2</v>
      </c>
      <c r="E68">
        <v>22840</v>
      </c>
      <c r="F68">
        <v>5481.6</v>
      </c>
      <c r="G68">
        <v>45671</v>
      </c>
    </row>
    <row r="69" spans="1:7" x14ac:dyDescent="0.25">
      <c r="A69" t="s">
        <v>288</v>
      </c>
      <c r="B69" t="s">
        <v>272</v>
      </c>
      <c r="C69" t="s">
        <v>223</v>
      </c>
      <c r="D69" t="s">
        <v>0</v>
      </c>
      <c r="E69">
        <v>24033</v>
      </c>
      <c r="F69">
        <v>6488.91</v>
      </c>
      <c r="G69">
        <v>45696</v>
      </c>
    </row>
    <row r="70" spans="1:7" x14ac:dyDescent="0.25">
      <c r="A70" t="s">
        <v>292</v>
      </c>
      <c r="B70" t="s">
        <v>271</v>
      </c>
      <c r="C70" t="s">
        <v>290</v>
      </c>
      <c r="D70" t="s">
        <v>2</v>
      </c>
      <c r="E70">
        <v>19320</v>
      </c>
      <c r="F70">
        <v>2704.8</v>
      </c>
      <c r="G70">
        <v>45679</v>
      </c>
    </row>
    <row r="71" spans="1:7" x14ac:dyDescent="0.25">
      <c r="A71" t="s">
        <v>289</v>
      </c>
      <c r="B71" t="s">
        <v>272</v>
      </c>
      <c r="C71" t="s">
        <v>225</v>
      </c>
      <c r="D71" t="s">
        <v>0</v>
      </c>
      <c r="E71">
        <v>25551</v>
      </c>
      <c r="F71">
        <v>1788.57</v>
      </c>
      <c r="G71">
        <v>45694</v>
      </c>
    </row>
    <row r="72" spans="1:7" x14ac:dyDescent="0.25">
      <c r="A72" t="s">
        <v>288</v>
      </c>
      <c r="B72" t="s">
        <v>273</v>
      </c>
      <c r="C72" t="s">
        <v>223</v>
      </c>
      <c r="D72" t="s">
        <v>1</v>
      </c>
      <c r="E72">
        <v>38869</v>
      </c>
      <c r="F72">
        <v>10883.32</v>
      </c>
      <c r="G72">
        <v>45736</v>
      </c>
    </row>
    <row r="73" spans="1:7" x14ac:dyDescent="0.25">
      <c r="A73" t="s">
        <v>292</v>
      </c>
      <c r="B73" t="s">
        <v>271</v>
      </c>
      <c r="C73" t="s">
        <v>227</v>
      </c>
      <c r="D73" t="s">
        <v>1</v>
      </c>
      <c r="E73">
        <v>14854</v>
      </c>
      <c r="F73">
        <v>3564.96</v>
      </c>
      <c r="G73">
        <v>45681</v>
      </c>
    </row>
    <row r="74" spans="1:7" x14ac:dyDescent="0.25">
      <c r="A74" t="s">
        <v>289</v>
      </c>
      <c r="B74" t="s">
        <v>271</v>
      </c>
      <c r="C74" t="s">
        <v>223</v>
      </c>
      <c r="D74" t="s">
        <v>1</v>
      </c>
      <c r="E74">
        <v>36652</v>
      </c>
      <c r="F74">
        <v>2932.16</v>
      </c>
      <c r="G74">
        <v>45674</v>
      </c>
    </row>
    <row r="75" spans="1:7" x14ac:dyDescent="0.25">
      <c r="A75" t="s">
        <v>292</v>
      </c>
      <c r="B75" t="s">
        <v>273</v>
      </c>
      <c r="C75" t="s">
        <v>225</v>
      </c>
      <c r="D75" t="s">
        <v>1</v>
      </c>
      <c r="E75">
        <v>24629</v>
      </c>
      <c r="F75">
        <v>5172.09</v>
      </c>
      <c r="G75">
        <v>45727</v>
      </c>
    </row>
    <row r="76" spans="1:7" x14ac:dyDescent="0.25">
      <c r="A76" t="s">
        <v>291</v>
      </c>
      <c r="B76" t="s">
        <v>272</v>
      </c>
      <c r="C76" t="s">
        <v>227</v>
      </c>
      <c r="D76" t="s">
        <v>0</v>
      </c>
      <c r="E76">
        <v>13625</v>
      </c>
      <c r="F76">
        <v>3951.25</v>
      </c>
      <c r="G76">
        <v>45699</v>
      </c>
    </row>
    <row r="77" spans="1:7" x14ac:dyDescent="0.25">
      <c r="A77" t="s">
        <v>288</v>
      </c>
      <c r="B77" t="s">
        <v>273</v>
      </c>
      <c r="C77" t="s">
        <v>290</v>
      </c>
      <c r="D77" t="s">
        <v>1</v>
      </c>
      <c r="E77">
        <v>22739</v>
      </c>
      <c r="F77">
        <v>3410.85</v>
      </c>
      <c r="G77">
        <v>45719</v>
      </c>
    </row>
    <row r="78" spans="1:7" x14ac:dyDescent="0.25">
      <c r="A78" t="s">
        <v>292</v>
      </c>
      <c r="B78" t="s">
        <v>273</v>
      </c>
      <c r="C78" t="s">
        <v>293</v>
      </c>
      <c r="D78" t="s">
        <v>2</v>
      </c>
      <c r="E78">
        <v>11493</v>
      </c>
      <c r="F78">
        <v>2758.32</v>
      </c>
      <c r="G78">
        <v>45744</v>
      </c>
    </row>
    <row r="79" spans="1:7" x14ac:dyDescent="0.25">
      <c r="A79" t="s">
        <v>291</v>
      </c>
      <c r="B79" t="s">
        <v>271</v>
      </c>
      <c r="C79" t="s">
        <v>223</v>
      </c>
      <c r="D79" t="s">
        <v>1</v>
      </c>
      <c r="E79">
        <v>24712</v>
      </c>
      <c r="F79">
        <v>2965.44</v>
      </c>
      <c r="G79">
        <v>45680</v>
      </c>
    </row>
    <row r="80" spans="1:7" x14ac:dyDescent="0.25">
      <c r="A80" t="s">
        <v>288</v>
      </c>
      <c r="B80" t="s">
        <v>271</v>
      </c>
      <c r="C80" t="s">
        <v>293</v>
      </c>
      <c r="D80" t="s">
        <v>2</v>
      </c>
      <c r="E80">
        <v>28703</v>
      </c>
      <c r="F80">
        <v>5166.54</v>
      </c>
      <c r="G80">
        <v>45680</v>
      </c>
    </row>
    <row r="81" spans="1:7" x14ac:dyDescent="0.25">
      <c r="A81" t="s">
        <v>292</v>
      </c>
      <c r="B81" t="s">
        <v>273</v>
      </c>
      <c r="C81" t="s">
        <v>223</v>
      </c>
      <c r="D81" t="s">
        <v>2</v>
      </c>
      <c r="E81">
        <v>13629</v>
      </c>
      <c r="F81">
        <v>3952.41</v>
      </c>
      <c r="G81">
        <v>45741</v>
      </c>
    </row>
    <row r="82" spans="1:7" x14ac:dyDescent="0.25">
      <c r="A82" t="s">
        <v>291</v>
      </c>
      <c r="B82" t="s">
        <v>271</v>
      </c>
      <c r="C82" t="s">
        <v>227</v>
      </c>
      <c r="D82" t="s">
        <v>2</v>
      </c>
      <c r="E82">
        <v>11055</v>
      </c>
      <c r="F82">
        <v>2321.5500000000002</v>
      </c>
      <c r="G82">
        <v>45665</v>
      </c>
    </row>
    <row r="83" spans="1:7" x14ac:dyDescent="0.25">
      <c r="A83" t="s">
        <v>288</v>
      </c>
      <c r="B83" t="s">
        <v>273</v>
      </c>
      <c r="C83" t="s">
        <v>223</v>
      </c>
      <c r="D83" t="s">
        <v>0</v>
      </c>
      <c r="E83">
        <v>25933</v>
      </c>
      <c r="F83">
        <v>3889.95</v>
      </c>
      <c r="G83">
        <v>45742</v>
      </c>
    </row>
    <row r="84" spans="1:7" x14ac:dyDescent="0.25">
      <c r="A84" t="s">
        <v>291</v>
      </c>
      <c r="B84" t="s">
        <v>272</v>
      </c>
      <c r="C84" t="s">
        <v>225</v>
      </c>
      <c r="D84" t="s">
        <v>0</v>
      </c>
      <c r="E84">
        <v>16795</v>
      </c>
      <c r="F84">
        <v>2519.25</v>
      </c>
      <c r="G84">
        <v>45694</v>
      </c>
    </row>
    <row r="85" spans="1:7" x14ac:dyDescent="0.25">
      <c r="A85" t="s">
        <v>288</v>
      </c>
      <c r="B85" t="s">
        <v>272</v>
      </c>
      <c r="C85" t="s">
        <v>225</v>
      </c>
      <c r="D85" t="s">
        <v>0</v>
      </c>
      <c r="E85">
        <v>30424</v>
      </c>
      <c r="F85">
        <v>1825.44</v>
      </c>
      <c r="G85">
        <v>45706</v>
      </c>
    </row>
    <row r="86" spans="1:7" x14ac:dyDescent="0.25">
      <c r="A86" t="s">
        <v>291</v>
      </c>
      <c r="B86" t="s">
        <v>272</v>
      </c>
      <c r="C86" t="s">
        <v>223</v>
      </c>
      <c r="D86" t="s">
        <v>1</v>
      </c>
      <c r="E86">
        <v>15588</v>
      </c>
      <c r="F86">
        <v>3273.48</v>
      </c>
      <c r="G86">
        <v>45713</v>
      </c>
    </row>
    <row r="87" spans="1:7" x14ac:dyDescent="0.25">
      <c r="A87" t="s">
        <v>288</v>
      </c>
      <c r="B87" t="s">
        <v>273</v>
      </c>
      <c r="C87" t="s">
        <v>293</v>
      </c>
      <c r="D87" t="s">
        <v>0</v>
      </c>
      <c r="E87">
        <v>20278</v>
      </c>
      <c r="F87">
        <v>4866.72</v>
      </c>
      <c r="G87">
        <v>45741</v>
      </c>
    </row>
    <row r="88" spans="1:7" x14ac:dyDescent="0.25">
      <c r="A88" t="s">
        <v>288</v>
      </c>
      <c r="B88" t="s">
        <v>271</v>
      </c>
      <c r="C88" t="s">
        <v>223</v>
      </c>
      <c r="D88" t="s">
        <v>2</v>
      </c>
      <c r="E88">
        <v>29389</v>
      </c>
      <c r="F88">
        <v>8228.92</v>
      </c>
      <c r="G88">
        <v>45684</v>
      </c>
    </row>
    <row r="89" spans="1:7" x14ac:dyDescent="0.25">
      <c r="A89" t="s">
        <v>289</v>
      </c>
      <c r="B89" t="s">
        <v>273</v>
      </c>
      <c r="C89" t="s">
        <v>293</v>
      </c>
      <c r="D89" t="s">
        <v>1</v>
      </c>
      <c r="E89">
        <v>26750</v>
      </c>
      <c r="F89">
        <v>1605</v>
      </c>
      <c r="G89">
        <v>45726</v>
      </c>
    </row>
    <row r="90" spans="1:7" x14ac:dyDescent="0.25">
      <c r="A90" t="s">
        <v>289</v>
      </c>
      <c r="B90" t="s">
        <v>273</v>
      </c>
      <c r="C90" t="s">
        <v>290</v>
      </c>
      <c r="D90" t="s">
        <v>0</v>
      </c>
      <c r="E90">
        <v>36699</v>
      </c>
      <c r="F90">
        <v>4403.88</v>
      </c>
      <c r="G90">
        <v>45728</v>
      </c>
    </row>
    <row r="91" spans="1:7" x14ac:dyDescent="0.25">
      <c r="A91" t="s">
        <v>291</v>
      </c>
      <c r="B91" t="s">
        <v>272</v>
      </c>
      <c r="C91" t="s">
        <v>227</v>
      </c>
      <c r="D91" t="s">
        <v>0</v>
      </c>
      <c r="E91">
        <v>29281</v>
      </c>
      <c r="F91">
        <v>1756.86</v>
      </c>
      <c r="G91">
        <v>45695</v>
      </c>
    </row>
    <row r="92" spans="1:7" x14ac:dyDescent="0.25">
      <c r="A92" t="s">
        <v>291</v>
      </c>
      <c r="B92" t="s">
        <v>271</v>
      </c>
      <c r="C92" t="s">
        <v>290</v>
      </c>
      <c r="D92" t="s">
        <v>0</v>
      </c>
      <c r="E92">
        <v>19361</v>
      </c>
      <c r="F92">
        <v>5033.8599999999997</v>
      </c>
      <c r="G92">
        <v>45661</v>
      </c>
    </row>
    <row r="93" spans="1:7" x14ac:dyDescent="0.25">
      <c r="A93" t="s">
        <v>291</v>
      </c>
      <c r="B93" t="s">
        <v>271</v>
      </c>
      <c r="C93" t="s">
        <v>293</v>
      </c>
      <c r="D93" t="s">
        <v>1</v>
      </c>
      <c r="E93">
        <v>38914</v>
      </c>
      <c r="F93">
        <v>6226.24</v>
      </c>
      <c r="G93">
        <v>45668</v>
      </c>
    </row>
    <row r="94" spans="1:7" x14ac:dyDescent="0.25">
      <c r="A94" t="s">
        <v>291</v>
      </c>
      <c r="B94" t="s">
        <v>271</v>
      </c>
      <c r="C94" t="s">
        <v>225</v>
      </c>
      <c r="D94" t="s">
        <v>2</v>
      </c>
      <c r="E94">
        <v>25694</v>
      </c>
      <c r="F94">
        <v>5909.62</v>
      </c>
      <c r="G94">
        <v>45688</v>
      </c>
    </row>
    <row r="95" spans="1:7" x14ac:dyDescent="0.25">
      <c r="A95" t="s">
        <v>288</v>
      </c>
      <c r="B95" t="s">
        <v>273</v>
      </c>
      <c r="C95" t="s">
        <v>290</v>
      </c>
      <c r="D95" t="s">
        <v>0</v>
      </c>
      <c r="E95">
        <v>17833</v>
      </c>
      <c r="F95">
        <v>2139.96</v>
      </c>
      <c r="G95">
        <v>45733</v>
      </c>
    </row>
    <row r="96" spans="1:7" x14ac:dyDescent="0.25">
      <c r="A96" t="s">
        <v>288</v>
      </c>
      <c r="B96" t="s">
        <v>272</v>
      </c>
      <c r="C96" t="s">
        <v>290</v>
      </c>
      <c r="D96" t="s">
        <v>0</v>
      </c>
      <c r="E96">
        <v>17159</v>
      </c>
      <c r="F96">
        <v>2573.85</v>
      </c>
      <c r="G96">
        <v>45701</v>
      </c>
    </row>
    <row r="97" spans="1:7" x14ac:dyDescent="0.25">
      <c r="A97" t="s">
        <v>292</v>
      </c>
      <c r="B97" t="s">
        <v>271</v>
      </c>
      <c r="C97" t="s">
        <v>290</v>
      </c>
      <c r="D97" t="s">
        <v>1</v>
      </c>
      <c r="E97">
        <v>19758</v>
      </c>
      <c r="F97">
        <v>1580.64</v>
      </c>
      <c r="G97">
        <v>45686</v>
      </c>
    </row>
    <row r="98" spans="1:7" x14ac:dyDescent="0.25">
      <c r="A98" t="s">
        <v>289</v>
      </c>
      <c r="B98" t="s">
        <v>273</v>
      </c>
      <c r="C98" t="s">
        <v>227</v>
      </c>
      <c r="D98" t="s">
        <v>0</v>
      </c>
      <c r="E98">
        <v>36840</v>
      </c>
      <c r="F98">
        <v>2578.8000000000002</v>
      </c>
      <c r="G98">
        <v>45742</v>
      </c>
    </row>
    <row r="99" spans="1:7" x14ac:dyDescent="0.25">
      <c r="A99" t="s">
        <v>288</v>
      </c>
      <c r="B99" t="s">
        <v>271</v>
      </c>
      <c r="C99" t="s">
        <v>290</v>
      </c>
      <c r="D99" t="s">
        <v>1</v>
      </c>
      <c r="E99">
        <v>21622</v>
      </c>
      <c r="F99">
        <v>3459.52</v>
      </c>
      <c r="G99">
        <v>45677</v>
      </c>
    </row>
    <row r="100" spans="1:7" x14ac:dyDescent="0.25">
      <c r="A100" t="s">
        <v>289</v>
      </c>
      <c r="B100" t="s">
        <v>272</v>
      </c>
      <c r="C100" t="s">
        <v>293</v>
      </c>
      <c r="D100" t="s">
        <v>1</v>
      </c>
      <c r="E100">
        <v>18626</v>
      </c>
      <c r="F100">
        <v>2048.86</v>
      </c>
      <c r="G100">
        <v>45709</v>
      </c>
    </row>
    <row r="101" spans="1:7" x14ac:dyDescent="0.25">
      <c r="A101" t="s">
        <v>288</v>
      </c>
      <c r="B101" t="s">
        <v>271</v>
      </c>
      <c r="C101" t="s">
        <v>225</v>
      </c>
      <c r="D101" t="s">
        <v>1</v>
      </c>
      <c r="E101">
        <v>32255</v>
      </c>
      <c r="F101">
        <v>4193.1499999999996</v>
      </c>
      <c r="G101">
        <v>45668</v>
      </c>
    </row>
    <row r="102" spans="1:7" x14ac:dyDescent="0.25">
      <c r="A102" t="s">
        <v>288</v>
      </c>
      <c r="B102" t="s">
        <v>271</v>
      </c>
      <c r="C102" t="s">
        <v>225</v>
      </c>
      <c r="D102" t="s">
        <v>1</v>
      </c>
      <c r="E102">
        <v>10483</v>
      </c>
      <c r="F102">
        <v>1991.77</v>
      </c>
      <c r="G102">
        <v>45684</v>
      </c>
    </row>
    <row r="103" spans="1:7" x14ac:dyDescent="0.25">
      <c r="A103" t="s">
        <v>289</v>
      </c>
      <c r="B103" t="s">
        <v>273</v>
      </c>
      <c r="C103" t="s">
        <v>223</v>
      </c>
      <c r="D103" t="s">
        <v>2</v>
      </c>
      <c r="E103">
        <v>30168</v>
      </c>
      <c r="F103">
        <v>8447.0400000000009</v>
      </c>
      <c r="G103">
        <v>45739</v>
      </c>
    </row>
    <row r="104" spans="1:7" x14ac:dyDescent="0.25">
      <c r="A104" t="s">
        <v>291</v>
      </c>
      <c r="B104" t="s">
        <v>272</v>
      </c>
      <c r="C104" t="s">
        <v>227</v>
      </c>
      <c r="D104" t="s">
        <v>2</v>
      </c>
      <c r="E104">
        <v>39227</v>
      </c>
      <c r="F104">
        <v>8629.94</v>
      </c>
      <c r="G104">
        <v>45693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EEAE-3EB2-490F-A33F-D27C1FA7A747}">
  <dimension ref="B3:F11"/>
  <sheetViews>
    <sheetView zoomScale="130" zoomScaleNormal="130" workbookViewId="0">
      <selection activeCell="F4" sqref="F4:F11"/>
    </sheetView>
  </sheetViews>
  <sheetFormatPr defaultRowHeight="15" x14ac:dyDescent="0.25"/>
  <sheetData>
    <row r="3" spans="2:6" x14ac:dyDescent="0.25">
      <c r="B3" t="s">
        <v>221</v>
      </c>
      <c r="C3" t="s">
        <v>388</v>
      </c>
      <c r="D3" t="s">
        <v>389</v>
      </c>
      <c r="E3" t="s">
        <v>390</v>
      </c>
      <c r="F3" t="s">
        <v>391</v>
      </c>
    </row>
    <row r="4" spans="2:6" x14ac:dyDescent="0.25">
      <c r="B4" t="s">
        <v>382</v>
      </c>
      <c r="C4">
        <v>64607</v>
      </c>
      <c r="D4">
        <v>38525</v>
      </c>
      <c r="E4">
        <v>86756</v>
      </c>
      <c r="F4">
        <v>18569</v>
      </c>
    </row>
    <row r="5" spans="2:6" x14ac:dyDescent="0.25">
      <c r="B5" t="s">
        <v>383</v>
      </c>
      <c r="C5">
        <v>68950</v>
      </c>
      <c r="D5">
        <v>45449</v>
      </c>
      <c r="E5">
        <v>17678</v>
      </c>
      <c r="F5">
        <v>12576</v>
      </c>
    </row>
    <row r="6" spans="2:6" x14ac:dyDescent="0.25">
      <c r="B6" t="s">
        <v>292</v>
      </c>
      <c r="C6">
        <v>21428</v>
      </c>
      <c r="D6">
        <v>11216</v>
      </c>
      <c r="E6">
        <v>54541</v>
      </c>
      <c r="F6">
        <v>19511</v>
      </c>
    </row>
    <row r="7" spans="2:6" x14ac:dyDescent="0.25">
      <c r="B7" t="s">
        <v>291</v>
      </c>
      <c r="C7">
        <v>38694</v>
      </c>
      <c r="D7">
        <v>40839</v>
      </c>
      <c r="E7">
        <v>51117</v>
      </c>
      <c r="F7">
        <v>51337</v>
      </c>
    </row>
    <row r="8" spans="2:6" x14ac:dyDescent="0.25">
      <c r="B8" t="s">
        <v>384</v>
      </c>
      <c r="C8">
        <v>49161</v>
      </c>
      <c r="D8">
        <v>34359</v>
      </c>
      <c r="E8">
        <v>75244</v>
      </c>
      <c r="F8">
        <v>10685</v>
      </c>
    </row>
    <row r="9" spans="2:6" x14ac:dyDescent="0.25">
      <c r="B9" t="s">
        <v>385</v>
      </c>
      <c r="C9">
        <v>33463</v>
      </c>
      <c r="D9">
        <v>59105</v>
      </c>
      <c r="E9">
        <v>33574</v>
      </c>
      <c r="F9">
        <v>46867</v>
      </c>
    </row>
    <row r="10" spans="2:6" x14ac:dyDescent="0.25">
      <c r="B10" t="s">
        <v>386</v>
      </c>
      <c r="C10">
        <v>12155</v>
      </c>
      <c r="D10">
        <v>10271</v>
      </c>
      <c r="E10">
        <v>80098</v>
      </c>
      <c r="F10">
        <v>55296</v>
      </c>
    </row>
    <row r="11" spans="2:6" x14ac:dyDescent="0.25">
      <c r="B11" t="s">
        <v>387</v>
      </c>
      <c r="C11">
        <v>49861</v>
      </c>
      <c r="D11">
        <v>74432</v>
      </c>
      <c r="E11">
        <v>28901</v>
      </c>
      <c r="F11">
        <v>58274</v>
      </c>
    </row>
  </sheetData>
  <phoneticPr fontId="2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7392-BD36-455B-AAD0-EDADA29C07EE}">
  <dimension ref="A1:P104"/>
  <sheetViews>
    <sheetView topLeftCell="A90" zoomScale="120" zoomScaleNormal="120" workbookViewId="0">
      <selection activeCell="A4" sqref="A4:G104"/>
    </sheetView>
  </sheetViews>
  <sheetFormatPr defaultRowHeight="15" x14ac:dyDescent="0.25"/>
  <cols>
    <col min="8" max="8" width="4" customWidth="1"/>
    <col min="9" max="9" width="7.85546875" bestFit="1" customWidth="1"/>
    <col min="10" max="10" width="4.42578125" bestFit="1" customWidth="1"/>
    <col min="11" max="11" width="6.85546875" customWidth="1"/>
  </cols>
  <sheetData>
    <row r="1" spans="1:16" x14ac:dyDescent="0.25">
      <c r="A1" s="8" t="s">
        <v>392</v>
      </c>
    </row>
    <row r="2" spans="1:16" x14ac:dyDescent="0.25">
      <c r="A2" s="8" t="s">
        <v>393</v>
      </c>
      <c r="M2" t="s">
        <v>291</v>
      </c>
      <c r="N2" t="s">
        <v>271</v>
      </c>
      <c r="O2" t="s">
        <v>0</v>
      </c>
      <c r="P2">
        <f t="shared" ref="P2:P10" si="0">COUNTIFS(Name,M2,Month,N2,Product,O2)</f>
        <v>1</v>
      </c>
    </row>
    <row r="3" spans="1:16" x14ac:dyDescent="0.25">
      <c r="M3" t="s">
        <v>291</v>
      </c>
      <c r="N3" t="s">
        <v>272</v>
      </c>
      <c r="O3" t="s">
        <v>0</v>
      </c>
      <c r="P3">
        <f t="shared" si="0"/>
        <v>5</v>
      </c>
    </row>
    <row r="4" spans="1:16" x14ac:dyDescent="0.25">
      <c r="A4" s="1" t="s">
        <v>252</v>
      </c>
      <c r="B4" s="1" t="s">
        <v>270</v>
      </c>
      <c r="C4" s="1" t="s">
        <v>220</v>
      </c>
      <c r="D4" s="1" t="s">
        <v>10</v>
      </c>
      <c r="E4" s="1" t="s">
        <v>218</v>
      </c>
      <c r="F4" s="1" t="s">
        <v>287</v>
      </c>
      <c r="G4" s="1" t="s">
        <v>217</v>
      </c>
      <c r="M4" t="s">
        <v>291</v>
      </c>
      <c r="N4" t="s">
        <v>273</v>
      </c>
      <c r="O4" t="s">
        <v>0</v>
      </c>
      <c r="P4">
        <f t="shared" si="0"/>
        <v>3</v>
      </c>
    </row>
    <row r="5" spans="1:16" x14ac:dyDescent="0.25">
      <c r="A5" t="s">
        <v>291</v>
      </c>
      <c r="B5" t="s">
        <v>271</v>
      </c>
      <c r="C5" t="s">
        <v>225</v>
      </c>
      <c r="D5" t="s">
        <v>2</v>
      </c>
      <c r="E5">
        <v>10107</v>
      </c>
      <c r="F5">
        <v>2021.4</v>
      </c>
      <c r="G5">
        <v>45673</v>
      </c>
      <c r="I5" s="1" t="s">
        <v>291</v>
      </c>
      <c r="J5" s="1">
        <f>COUNTIF(Name,I5)</f>
        <v>28</v>
      </c>
      <c r="M5" t="s">
        <v>291</v>
      </c>
      <c r="N5" t="s">
        <v>271</v>
      </c>
      <c r="O5" t="s">
        <v>1</v>
      </c>
      <c r="P5">
        <f t="shared" si="0"/>
        <v>3</v>
      </c>
    </row>
    <row r="6" spans="1:16" x14ac:dyDescent="0.25">
      <c r="A6" t="s">
        <v>292</v>
      </c>
      <c r="B6" t="s">
        <v>271</v>
      </c>
      <c r="C6" t="s">
        <v>223</v>
      </c>
      <c r="D6" t="s">
        <v>1</v>
      </c>
      <c r="E6">
        <v>34572</v>
      </c>
      <c r="F6">
        <v>6914.4</v>
      </c>
      <c r="G6">
        <v>45684</v>
      </c>
      <c r="I6" t="s">
        <v>292</v>
      </c>
      <c r="J6">
        <f>COUNTIF(Name,I6)</f>
        <v>23</v>
      </c>
      <c r="M6" t="s">
        <v>291</v>
      </c>
      <c r="N6" t="s">
        <v>272</v>
      </c>
      <c r="O6" t="s">
        <v>1</v>
      </c>
      <c r="P6">
        <f t="shared" si="0"/>
        <v>3</v>
      </c>
    </row>
    <row r="7" spans="1:16" x14ac:dyDescent="0.25">
      <c r="A7" t="s">
        <v>289</v>
      </c>
      <c r="B7" t="s">
        <v>272</v>
      </c>
      <c r="C7" t="s">
        <v>227</v>
      </c>
      <c r="D7" t="s">
        <v>2</v>
      </c>
      <c r="E7">
        <v>23026</v>
      </c>
      <c r="F7">
        <v>4144.68</v>
      </c>
      <c r="G7">
        <v>45715</v>
      </c>
      <c r="I7" t="s">
        <v>289</v>
      </c>
      <c r="J7">
        <f>COUNTIF(Name,I7)</f>
        <v>25</v>
      </c>
      <c r="M7" t="s">
        <v>291</v>
      </c>
      <c r="N7" t="s">
        <v>273</v>
      </c>
      <c r="O7" t="s">
        <v>1</v>
      </c>
      <c r="P7">
        <f t="shared" si="0"/>
        <v>2</v>
      </c>
    </row>
    <row r="8" spans="1:16" x14ac:dyDescent="0.25">
      <c r="A8" t="s">
        <v>289</v>
      </c>
      <c r="B8" t="s">
        <v>271</v>
      </c>
      <c r="C8" t="s">
        <v>293</v>
      </c>
      <c r="D8" t="s">
        <v>2</v>
      </c>
      <c r="E8">
        <v>24153</v>
      </c>
      <c r="F8">
        <v>6762.84</v>
      </c>
      <c r="G8">
        <v>45662</v>
      </c>
      <c r="I8" t="s">
        <v>288</v>
      </c>
      <c r="J8">
        <f>COUNTIF(Name,I8)</f>
        <v>24</v>
      </c>
      <c r="M8" t="s">
        <v>291</v>
      </c>
      <c r="N8" t="s">
        <v>271</v>
      </c>
      <c r="O8" t="s">
        <v>2</v>
      </c>
      <c r="P8">
        <f t="shared" si="0"/>
        <v>5</v>
      </c>
    </row>
    <row r="9" spans="1:16" x14ac:dyDescent="0.25">
      <c r="A9" t="s">
        <v>289</v>
      </c>
      <c r="B9" t="s">
        <v>272</v>
      </c>
      <c r="C9" t="s">
        <v>227</v>
      </c>
      <c r="D9" t="s">
        <v>0</v>
      </c>
      <c r="E9">
        <v>39752</v>
      </c>
      <c r="F9">
        <v>6757.84</v>
      </c>
      <c r="G9">
        <v>45690</v>
      </c>
      <c r="M9" t="s">
        <v>291</v>
      </c>
      <c r="N9" t="s">
        <v>272</v>
      </c>
      <c r="O9" t="s">
        <v>2</v>
      </c>
      <c r="P9">
        <f t="shared" si="0"/>
        <v>2</v>
      </c>
    </row>
    <row r="10" spans="1:16" x14ac:dyDescent="0.25">
      <c r="A10" t="s">
        <v>291</v>
      </c>
      <c r="B10" t="s">
        <v>273</v>
      </c>
      <c r="C10" t="s">
        <v>225</v>
      </c>
      <c r="D10" t="s">
        <v>2</v>
      </c>
      <c r="E10">
        <v>13702</v>
      </c>
      <c r="F10">
        <v>959.14</v>
      </c>
      <c r="G10">
        <v>45722</v>
      </c>
      <c r="I10" t="s">
        <v>291</v>
      </c>
      <c r="J10" t="s">
        <v>271</v>
      </c>
      <c r="K10">
        <f>COUNTIFS(Name,I10,Month,J10)</f>
        <v>9</v>
      </c>
      <c r="M10" t="s">
        <v>291</v>
      </c>
      <c r="N10" t="s">
        <v>273</v>
      </c>
      <c r="O10" t="s">
        <v>2</v>
      </c>
      <c r="P10">
        <f t="shared" si="0"/>
        <v>4</v>
      </c>
    </row>
    <row r="11" spans="1:16" x14ac:dyDescent="0.25">
      <c r="A11" t="s">
        <v>291</v>
      </c>
      <c r="B11" t="s">
        <v>272</v>
      </c>
      <c r="C11" t="s">
        <v>290</v>
      </c>
      <c r="D11" t="s">
        <v>0</v>
      </c>
      <c r="E11">
        <v>16726</v>
      </c>
      <c r="F11">
        <v>836.3</v>
      </c>
      <c r="G11">
        <v>45708</v>
      </c>
      <c r="I11" t="s">
        <v>291</v>
      </c>
      <c r="J11" t="s">
        <v>272</v>
      </c>
      <c r="K11">
        <f>COUNTIFS(Name,I11,Month,J11)</f>
        <v>10</v>
      </c>
    </row>
    <row r="12" spans="1:16" x14ac:dyDescent="0.25">
      <c r="A12" t="s">
        <v>288</v>
      </c>
      <c r="B12" t="s">
        <v>272</v>
      </c>
      <c r="C12" t="s">
        <v>223</v>
      </c>
      <c r="D12" t="s">
        <v>2</v>
      </c>
      <c r="E12">
        <v>14606</v>
      </c>
      <c r="F12">
        <v>2921.2</v>
      </c>
      <c r="G12">
        <v>45706</v>
      </c>
      <c r="I12" t="s">
        <v>291</v>
      </c>
      <c r="J12" t="s">
        <v>273</v>
      </c>
      <c r="K12">
        <f>COUNTIFS(Name,I12,Month,J12)</f>
        <v>9</v>
      </c>
    </row>
    <row r="13" spans="1:16" x14ac:dyDescent="0.25">
      <c r="A13" t="s">
        <v>292</v>
      </c>
      <c r="B13" t="s">
        <v>272</v>
      </c>
      <c r="C13" t="s">
        <v>223</v>
      </c>
      <c r="D13" t="s">
        <v>1</v>
      </c>
      <c r="E13">
        <v>27750</v>
      </c>
      <c r="F13">
        <v>7215</v>
      </c>
      <c r="G13">
        <v>45707</v>
      </c>
    </row>
    <row r="14" spans="1:16" x14ac:dyDescent="0.25">
      <c r="A14" t="s">
        <v>288</v>
      </c>
      <c r="B14" t="s">
        <v>271</v>
      </c>
      <c r="C14" t="s">
        <v>290</v>
      </c>
      <c r="D14" t="s">
        <v>1</v>
      </c>
      <c r="E14">
        <v>19238</v>
      </c>
      <c r="F14">
        <v>4232.3599999999997</v>
      </c>
      <c r="G14">
        <v>45664</v>
      </c>
    </row>
    <row r="15" spans="1:16" x14ac:dyDescent="0.25">
      <c r="A15" t="s">
        <v>291</v>
      </c>
      <c r="B15" t="s">
        <v>273</v>
      </c>
      <c r="C15" t="s">
        <v>290</v>
      </c>
      <c r="D15" t="s">
        <v>2</v>
      </c>
      <c r="E15">
        <v>32426</v>
      </c>
      <c r="F15">
        <v>9403.5400000000009</v>
      </c>
      <c r="G15">
        <v>45739</v>
      </c>
    </row>
    <row r="16" spans="1:16" x14ac:dyDescent="0.25">
      <c r="A16" t="s">
        <v>291</v>
      </c>
      <c r="B16" t="s">
        <v>273</v>
      </c>
      <c r="C16" t="s">
        <v>225</v>
      </c>
      <c r="D16" t="s">
        <v>2</v>
      </c>
      <c r="E16">
        <v>33943</v>
      </c>
      <c r="F16">
        <v>4412.59</v>
      </c>
      <c r="G16">
        <v>45718</v>
      </c>
    </row>
    <row r="17" spans="1:7" x14ac:dyDescent="0.25">
      <c r="A17" t="s">
        <v>292</v>
      </c>
      <c r="B17" t="s">
        <v>272</v>
      </c>
      <c r="C17" t="s">
        <v>225</v>
      </c>
      <c r="D17" t="s">
        <v>1</v>
      </c>
      <c r="E17">
        <v>38693</v>
      </c>
      <c r="F17">
        <v>8899.39</v>
      </c>
      <c r="G17">
        <v>45705</v>
      </c>
    </row>
    <row r="18" spans="1:7" x14ac:dyDescent="0.25">
      <c r="A18" t="s">
        <v>291</v>
      </c>
      <c r="B18" t="s">
        <v>272</v>
      </c>
      <c r="C18" t="s">
        <v>290</v>
      </c>
      <c r="D18" t="s">
        <v>1</v>
      </c>
      <c r="E18">
        <v>22964</v>
      </c>
      <c r="F18">
        <v>1607.48</v>
      </c>
      <c r="G18">
        <v>45705</v>
      </c>
    </row>
    <row r="19" spans="1:7" x14ac:dyDescent="0.25">
      <c r="A19" t="s">
        <v>291</v>
      </c>
      <c r="B19" t="s">
        <v>272</v>
      </c>
      <c r="C19" t="s">
        <v>225</v>
      </c>
      <c r="D19" t="s">
        <v>2</v>
      </c>
      <c r="E19">
        <v>28527</v>
      </c>
      <c r="F19">
        <v>6846.48</v>
      </c>
      <c r="G19">
        <v>45701</v>
      </c>
    </row>
    <row r="20" spans="1:7" x14ac:dyDescent="0.25">
      <c r="A20" t="s">
        <v>289</v>
      </c>
      <c r="B20" t="s">
        <v>272</v>
      </c>
      <c r="C20" t="s">
        <v>223</v>
      </c>
      <c r="D20" t="s">
        <v>2</v>
      </c>
      <c r="E20">
        <v>21575</v>
      </c>
      <c r="F20">
        <v>3020.5</v>
      </c>
      <c r="G20">
        <v>45705</v>
      </c>
    </row>
    <row r="21" spans="1:7" x14ac:dyDescent="0.25">
      <c r="A21" t="s">
        <v>289</v>
      </c>
      <c r="B21" t="s">
        <v>271</v>
      </c>
      <c r="C21" t="s">
        <v>225</v>
      </c>
      <c r="D21" t="s">
        <v>1</v>
      </c>
      <c r="E21">
        <v>39387</v>
      </c>
      <c r="F21">
        <v>11422.23</v>
      </c>
      <c r="G21">
        <v>45677</v>
      </c>
    </row>
    <row r="22" spans="1:7" x14ac:dyDescent="0.25">
      <c r="A22" t="s">
        <v>292</v>
      </c>
      <c r="B22" t="s">
        <v>273</v>
      </c>
      <c r="C22" t="s">
        <v>227</v>
      </c>
      <c r="D22" t="s">
        <v>0</v>
      </c>
      <c r="E22">
        <v>32806</v>
      </c>
      <c r="F22">
        <v>4264.78</v>
      </c>
      <c r="G22">
        <v>45726</v>
      </c>
    </row>
    <row r="23" spans="1:7" x14ac:dyDescent="0.25">
      <c r="A23" t="s">
        <v>288</v>
      </c>
      <c r="B23" t="s">
        <v>271</v>
      </c>
      <c r="C23" t="s">
        <v>227</v>
      </c>
      <c r="D23" t="s">
        <v>2</v>
      </c>
      <c r="E23">
        <v>39047</v>
      </c>
      <c r="F23">
        <v>3514.23</v>
      </c>
      <c r="G23">
        <v>45688</v>
      </c>
    </row>
    <row r="24" spans="1:7" x14ac:dyDescent="0.25">
      <c r="A24" t="s">
        <v>289</v>
      </c>
      <c r="B24" t="s">
        <v>272</v>
      </c>
      <c r="C24" t="s">
        <v>223</v>
      </c>
      <c r="D24" t="s">
        <v>0</v>
      </c>
      <c r="E24">
        <v>27577</v>
      </c>
      <c r="F24">
        <v>1930.39</v>
      </c>
      <c r="G24">
        <v>45700</v>
      </c>
    </row>
    <row r="25" spans="1:7" x14ac:dyDescent="0.25">
      <c r="A25" t="s">
        <v>291</v>
      </c>
      <c r="B25" t="s">
        <v>273</v>
      </c>
      <c r="C25" t="s">
        <v>293</v>
      </c>
      <c r="D25" t="s">
        <v>1</v>
      </c>
      <c r="E25">
        <v>32575</v>
      </c>
      <c r="F25">
        <v>1628.75</v>
      </c>
      <c r="G25">
        <v>45721</v>
      </c>
    </row>
    <row r="26" spans="1:7" x14ac:dyDescent="0.25">
      <c r="A26" t="s">
        <v>292</v>
      </c>
      <c r="B26" t="s">
        <v>271</v>
      </c>
      <c r="C26" t="s">
        <v>290</v>
      </c>
      <c r="D26" t="s">
        <v>2</v>
      </c>
      <c r="E26">
        <v>10380</v>
      </c>
      <c r="F26">
        <v>622.79999999999995</v>
      </c>
      <c r="G26">
        <v>45669</v>
      </c>
    </row>
    <row r="27" spans="1:7" x14ac:dyDescent="0.25">
      <c r="A27" t="s">
        <v>292</v>
      </c>
      <c r="B27" t="s">
        <v>273</v>
      </c>
      <c r="C27" t="s">
        <v>227</v>
      </c>
      <c r="D27" t="s">
        <v>1</v>
      </c>
      <c r="E27">
        <v>13009</v>
      </c>
      <c r="F27">
        <v>2601.8000000000002</v>
      </c>
      <c r="G27">
        <v>45731</v>
      </c>
    </row>
    <row r="28" spans="1:7" x14ac:dyDescent="0.25">
      <c r="A28" t="s">
        <v>289</v>
      </c>
      <c r="B28" t="s">
        <v>271</v>
      </c>
      <c r="C28" t="s">
        <v>223</v>
      </c>
      <c r="D28" t="s">
        <v>1</v>
      </c>
      <c r="E28">
        <v>10529</v>
      </c>
      <c r="F28">
        <v>842.32</v>
      </c>
      <c r="G28">
        <v>45674</v>
      </c>
    </row>
    <row r="29" spans="1:7" x14ac:dyDescent="0.25">
      <c r="A29" t="s">
        <v>288</v>
      </c>
      <c r="B29" t="s">
        <v>272</v>
      </c>
      <c r="C29" t="s">
        <v>290</v>
      </c>
      <c r="D29" t="s">
        <v>1</v>
      </c>
      <c r="E29">
        <v>14635</v>
      </c>
      <c r="F29">
        <v>3512.4</v>
      </c>
      <c r="G29">
        <v>45692</v>
      </c>
    </row>
    <row r="30" spans="1:7" x14ac:dyDescent="0.25">
      <c r="A30" t="s">
        <v>289</v>
      </c>
      <c r="B30" t="s">
        <v>271</v>
      </c>
      <c r="C30" t="s">
        <v>223</v>
      </c>
      <c r="D30" t="s">
        <v>0</v>
      </c>
      <c r="E30">
        <v>30972</v>
      </c>
      <c r="F30">
        <v>7743</v>
      </c>
      <c r="G30">
        <v>45682</v>
      </c>
    </row>
    <row r="31" spans="1:7" x14ac:dyDescent="0.25">
      <c r="A31" t="s">
        <v>288</v>
      </c>
      <c r="B31" t="s">
        <v>273</v>
      </c>
      <c r="C31" t="s">
        <v>293</v>
      </c>
      <c r="D31" t="s">
        <v>1</v>
      </c>
      <c r="E31">
        <v>38386</v>
      </c>
      <c r="F31">
        <v>2687.02</v>
      </c>
      <c r="G31">
        <v>45721</v>
      </c>
    </row>
    <row r="32" spans="1:7" x14ac:dyDescent="0.25">
      <c r="A32" t="s">
        <v>289</v>
      </c>
      <c r="B32" t="s">
        <v>272</v>
      </c>
      <c r="C32" t="s">
        <v>293</v>
      </c>
      <c r="D32" t="s">
        <v>1</v>
      </c>
      <c r="E32">
        <v>27281</v>
      </c>
      <c r="F32">
        <v>5456.2</v>
      </c>
      <c r="G32">
        <v>45707</v>
      </c>
    </row>
    <row r="33" spans="1:7" x14ac:dyDescent="0.25">
      <c r="A33" t="s">
        <v>289</v>
      </c>
      <c r="B33" t="s">
        <v>271</v>
      </c>
      <c r="C33" t="s">
        <v>225</v>
      </c>
      <c r="D33" t="s">
        <v>1</v>
      </c>
      <c r="E33">
        <v>29384</v>
      </c>
      <c r="F33">
        <v>1763.04</v>
      </c>
      <c r="G33">
        <v>45673</v>
      </c>
    </row>
    <row r="34" spans="1:7" x14ac:dyDescent="0.25">
      <c r="A34" t="s">
        <v>292</v>
      </c>
      <c r="B34" t="s">
        <v>273</v>
      </c>
      <c r="C34" t="s">
        <v>293</v>
      </c>
      <c r="D34" t="s">
        <v>0</v>
      </c>
      <c r="E34">
        <v>18080</v>
      </c>
      <c r="F34">
        <v>1988.8</v>
      </c>
      <c r="G34">
        <v>45746</v>
      </c>
    </row>
    <row r="35" spans="1:7" x14ac:dyDescent="0.25">
      <c r="A35" t="s">
        <v>289</v>
      </c>
      <c r="B35" t="s">
        <v>271</v>
      </c>
      <c r="C35" t="s">
        <v>290</v>
      </c>
      <c r="D35" t="s">
        <v>2</v>
      </c>
      <c r="E35">
        <v>35593</v>
      </c>
      <c r="F35">
        <v>6762.67</v>
      </c>
      <c r="G35">
        <v>45660</v>
      </c>
    </row>
    <row r="36" spans="1:7" x14ac:dyDescent="0.25">
      <c r="A36" t="s">
        <v>288</v>
      </c>
      <c r="B36" t="s">
        <v>271</v>
      </c>
      <c r="C36" t="s">
        <v>227</v>
      </c>
      <c r="D36" t="s">
        <v>0</v>
      </c>
      <c r="E36">
        <v>33258</v>
      </c>
      <c r="F36">
        <v>2993.22</v>
      </c>
      <c r="G36">
        <v>45678</v>
      </c>
    </row>
    <row r="37" spans="1:7" x14ac:dyDescent="0.25">
      <c r="A37" t="s">
        <v>292</v>
      </c>
      <c r="B37" t="s">
        <v>271</v>
      </c>
      <c r="C37" t="s">
        <v>227</v>
      </c>
      <c r="D37" t="s">
        <v>1</v>
      </c>
      <c r="E37">
        <v>38992</v>
      </c>
      <c r="F37">
        <v>4679.04</v>
      </c>
      <c r="G37">
        <v>45658</v>
      </c>
    </row>
    <row r="38" spans="1:7" x14ac:dyDescent="0.25">
      <c r="A38" t="s">
        <v>288</v>
      </c>
      <c r="B38" t="s">
        <v>271</v>
      </c>
      <c r="C38" t="s">
        <v>227</v>
      </c>
      <c r="D38" t="s">
        <v>2</v>
      </c>
      <c r="E38">
        <v>13547</v>
      </c>
      <c r="F38">
        <v>1490.17</v>
      </c>
      <c r="G38">
        <v>45677</v>
      </c>
    </row>
    <row r="39" spans="1:7" x14ac:dyDescent="0.25">
      <c r="A39" t="s">
        <v>292</v>
      </c>
      <c r="B39" t="s">
        <v>271</v>
      </c>
      <c r="C39" t="s">
        <v>225</v>
      </c>
      <c r="D39" t="s">
        <v>1</v>
      </c>
      <c r="E39">
        <v>36092</v>
      </c>
      <c r="F39">
        <v>6857.48</v>
      </c>
      <c r="G39">
        <v>45673</v>
      </c>
    </row>
    <row r="40" spans="1:7" x14ac:dyDescent="0.25">
      <c r="A40" t="s">
        <v>291</v>
      </c>
      <c r="B40" t="s">
        <v>271</v>
      </c>
      <c r="C40" t="s">
        <v>225</v>
      </c>
      <c r="D40" t="s">
        <v>2</v>
      </c>
      <c r="E40">
        <v>31964</v>
      </c>
      <c r="F40">
        <v>4155.32</v>
      </c>
      <c r="G40">
        <v>45665</v>
      </c>
    </row>
    <row r="41" spans="1:7" x14ac:dyDescent="0.25">
      <c r="A41" t="s">
        <v>288</v>
      </c>
      <c r="B41" t="s">
        <v>271</v>
      </c>
      <c r="C41" t="s">
        <v>293</v>
      </c>
      <c r="D41" t="s">
        <v>0</v>
      </c>
      <c r="E41">
        <v>23710</v>
      </c>
      <c r="F41">
        <v>6164.6</v>
      </c>
      <c r="G41">
        <v>45684</v>
      </c>
    </row>
    <row r="42" spans="1:7" x14ac:dyDescent="0.25">
      <c r="A42" t="s">
        <v>289</v>
      </c>
      <c r="B42" t="s">
        <v>271</v>
      </c>
      <c r="C42" t="s">
        <v>227</v>
      </c>
      <c r="D42" t="s">
        <v>0</v>
      </c>
      <c r="E42">
        <v>32093</v>
      </c>
      <c r="F42">
        <v>3530.23</v>
      </c>
      <c r="G42">
        <v>45666</v>
      </c>
    </row>
    <row r="43" spans="1:7" x14ac:dyDescent="0.25">
      <c r="A43" t="s">
        <v>292</v>
      </c>
      <c r="B43" t="s">
        <v>271</v>
      </c>
      <c r="C43" t="s">
        <v>290</v>
      </c>
      <c r="D43" t="s">
        <v>2</v>
      </c>
      <c r="E43">
        <v>28973</v>
      </c>
      <c r="F43">
        <v>6663.79</v>
      </c>
      <c r="G43">
        <v>45665</v>
      </c>
    </row>
    <row r="44" spans="1:7" x14ac:dyDescent="0.25">
      <c r="A44" t="s">
        <v>289</v>
      </c>
      <c r="B44" t="s">
        <v>272</v>
      </c>
      <c r="C44" t="s">
        <v>227</v>
      </c>
      <c r="D44" t="s">
        <v>0</v>
      </c>
      <c r="E44">
        <v>36163</v>
      </c>
      <c r="F44">
        <v>1808.15</v>
      </c>
      <c r="G44">
        <v>45704</v>
      </c>
    </row>
    <row r="45" spans="1:7" x14ac:dyDescent="0.25">
      <c r="A45" t="s">
        <v>289</v>
      </c>
      <c r="B45" t="s">
        <v>273</v>
      </c>
      <c r="C45" t="s">
        <v>225</v>
      </c>
      <c r="D45" t="s">
        <v>2</v>
      </c>
      <c r="E45">
        <v>37193</v>
      </c>
      <c r="F45">
        <v>8554.39</v>
      </c>
      <c r="G45">
        <v>45727</v>
      </c>
    </row>
    <row r="46" spans="1:7" x14ac:dyDescent="0.25">
      <c r="A46" t="s">
        <v>291</v>
      </c>
      <c r="B46" t="s">
        <v>273</v>
      </c>
      <c r="C46" t="s">
        <v>290</v>
      </c>
      <c r="D46" t="s">
        <v>0</v>
      </c>
      <c r="E46">
        <v>14328</v>
      </c>
      <c r="F46">
        <v>2865.6</v>
      </c>
      <c r="G46">
        <v>45735</v>
      </c>
    </row>
    <row r="47" spans="1:7" x14ac:dyDescent="0.25">
      <c r="A47" t="s">
        <v>292</v>
      </c>
      <c r="B47" t="s">
        <v>273</v>
      </c>
      <c r="C47" t="s">
        <v>227</v>
      </c>
      <c r="D47" t="s">
        <v>0</v>
      </c>
      <c r="E47">
        <v>21329</v>
      </c>
      <c r="F47">
        <v>3199.35</v>
      </c>
      <c r="G47">
        <v>45720</v>
      </c>
    </row>
    <row r="48" spans="1:7" x14ac:dyDescent="0.25">
      <c r="A48" t="s">
        <v>289</v>
      </c>
      <c r="B48" t="s">
        <v>271</v>
      </c>
      <c r="C48" t="s">
        <v>227</v>
      </c>
      <c r="D48" t="s">
        <v>2</v>
      </c>
      <c r="E48">
        <v>33285</v>
      </c>
      <c r="F48">
        <v>9652.65</v>
      </c>
      <c r="G48">
        <v>45682</v>
      </c>
    </row>
    <row r="49" spans="1:7" x14ac:dyDescent="0.25">
      <c r="A49" t="s">
        <v>291</v>
      </c>
      <c r="B49" t="s">
        <v>271</v>
      </c>
      <c r="C49" t="s">
        <v>227</v>
      </c>
      <c r="D49" t="s">
        <v>1</v>
      </c>
      <c r="E49">
        <v>22592</v>
      </c>
      <c r="F49">
        <v>5648</v>
      </c>
      <c r="G49">
        <v>45685</v>
      </c>
    </row>
    <row r="50" spans="1:7" x14ac:dyDescent="0.25">
      <c r="A50" t="s">
        <v>292</v>
      </c>
      <c r="B50" t="s">
        <v>273</v>
      </c>
      <c r="C50" t="s">
        <v>223</v>
      </c>
      <c r="D50" t="s">
        <v>0</v>
      </c>
      <c r="E50">
        <v>11690</v>
      </c>
      <c r="F50">
        <v>3273.2</v>
      </c>
      <c r="G50">
        <v>45735</v>
      </c>
    </row>
    <row r="51" spans="1:7" x14ac:dyDescent="0.25">
      <c r="A51" t="s">
        <v>292</v>
      </c>
      <c r="B51" t="s">
        <v>273</v>
      </c>
      <c r="C51" t="s">
        <v>293</v>
      </c>
      <c r="D51" t="s">
        <v>2</v>
      </c>
      <c r="E51">
        <v>18783</v>
      </c>
      <c r="F51">
        <v>4132.26</v>
      </c>
      <c r="G51">
        <v>45743</v>
      </c>
    </row>
    <row r="52" spans="1:7" x14ac:dyDescent="0.25">
      <c r="A52" t="s">
        <v>288</v>
      </c>
      <c r="B52" t="s">
        <v>272</v>
      </c>
      <c r="C52" t="s">
        <v>223</v>
      </c>
      <c r="D52" t="s">
        <v>0</v>
      </c>
      <c r="E52">
        <v>37849</v>
      </c>
      <c r="F52">
        <v>2270.94</v>
      </c>
      <c r="G52">
        <v>45690</v>
      </c>
    </row>
    <row r="53" spans="1:7" x14ac:dyDescent="0.25">
      <c r="A53" t="s">
        <v>288</v>
      </c>
      <c r="B53" t="s">
        <v>272</v>
      </c>
      <c r="C53" t="s">
        <v>225</v>
      </c>
      <c r="D53" t="s">
        <v>2</v>
      </c>
      <c r="E53">
        <v>37548</v>
      </c>
      <c r="F53">
        <v>11264.4</v>
      </c>
      <c r="G53">
        <v>45700</v>
      </c>
    </row>
    <row r="54" spans="1:7" x14ac:dyDescent="0.25">
      <c r="A54" t="s">
        <v>291</v>
      </c>
      <c r="B54" t="s">
        <v>273</v>
      </c>
      <c r="C54" t="s">
        <v>223</v>
      </c>
      <c r="D54" t="s">
        <v>1</v>
      </c>
      <c r="E54">
        <v>28520</v>
      </c>
      <c r="F54">
        <v>5989.2</v>
      </c>
      <c r="G54">
        <v>45726</v>
      </c>
    </row>
    <row r="55" spans="1:7" x14ac:dyDescent="0.25">
      <c r="A55" t="s">
        <v>288</v>
      </c>
      <c r="B55" t="s">
        <v>272</v>
      </c>
      <c r="C55" t="s">
        <v>223</v>
      </c>
      <c r="D55" t="s">
        <v>2</v>
      </c>
      <c r="E55">
        <v>31125</v>
      </c>
      <c r="F55">
        <v>3735</v>
      </c>
      <c r="G55">
        <v>45712</v>
      </c>
    </row>
    <row r="56" spans="1:7" x14ac:dyDescent="0.25">
      <c r="A56" t="s">
        <v>292</v>
      </c>
      <c r="B56" t="s">
        <v>272</v>
      </c>
      <c r="C56" t="s">
        <v>223</v>
      </c>
      <c r="D56" t="s">
        <v>2</v>
      </c>
      <c r="E56">
        <v>33232</v>
      </c>
      <c r="F56">
        <v>4320.16</v>
      </c>
      <c r="G56">
        <v>45707</v>
      </c>
    </row>
    <row r="57" spans="1:7" x14ac:dyDescent="0.25">
      <c r="A57" t="s">
        <v>289</v>
      </c>
      <c r="B57" t="s">
        <v>271</v>
      </c>
      <c r="C57" t="s">
        <v>293</v>
      </c>
      <c r="D57" t="s">
        <v>2</v>
      </c>
      <c r="E57">
        <v>13155</v>
      </c>
      <c r="F57">
        <v>789.3</v>
      </c>
      <c r="G57">
        <v>45680</v>
      </c>
    </row>
    <row r="58" spans="1:7" x14ac:dyDescent="0.25">
      <c r="A58" t="s">
        <v>292</v>
      </c>
      <c r="B58" t="s">
        <v>272</v>
      </c>
      <c r="C58" t="s">
        <v>293</v>
      </c>
      <c r="D58" t="s">
        <v>0</v>
      </c>
      <c r="E58">
        <v>13055</v>
      </c>
      <c r="F58">
        <v>3002.65</v>
      </c>
      <c r="G58">
        <v>45705</v>
      </c>
    </row>
    <row r="59" spans="1:7" x14ac:dyDescent="0.25">
      <c r="A59" t="s">
        <v>291</v>
      </c>
      <c r="B59" t="s">
        <v>272</v>
      </c>
      <c r="C59" t="s">
        <v>223</v>
      </c>
      <c r="D59" t="s">
        <v>0</v>
      </c>
      <c r="E59">
        <v>19099</v>
      </c>
      <c r="F59">
        <v>954.95</v>
      </c>
      <c r="G59">
        <v>45691</v>
      </c>
    </row>
    <row r="60" spans="1:7" x14ac:dyDescent="0.25">
      <c r="A60" t="s">
        <v>291</v>
      </c>
      <c r="B60" t="s">
        <v>273</v>
      </c>
      <c r="C60" t="s">
        <v>223</v>
      </c>
      <c r="D60" t="s">
        <v>2</v>
      </c>
      <c r="E60">
        <v>25000</v>
      </c>
      <c r="F60">
        <v>1750</v>
      </c>
      <c r="G60">
        <v>45735</v>
      </c>
    </row>
    <row r="61" spans="1:7" x14ac:dyDescent="0.25">
      <c r="A61" t="s">
        <v>292</v>
      </c>
      <c r="B61" t="s">
        <v>273</v>
      </c>
      <c r="C61" t="s">
        <v>227</v>
      </c>
      <c r="D61" t="s">
        <v>1</v>
      </c>
      <c r="E61">
        <v>26388</v>
      </c>
      <c r="F61">
        <v>2111.04</v>
      </c>
      <c r="G61">
        <v>45741</v>
      </c>
    </row>
    <row r="62" spans="1:7" x14ac:dyDescent="0.25">
      <c r="A62" t="s">
        <v>291</v>
      </c>
      <c r="B62" t="s">
        <v>273</v>
      </c>
      <c r="C62" t="s">
        <v>293</v>
      </c>
      <c r="D62" t="s">
        <v>0</v>
      </c>
      <c r="E62">
        <v>24126</v>
      </c>
      <c r="F62">
        <v>3618.9</v>
      </c>
      <c r="G62">
        <v>45723</v>
      </c>
    </row>
    <row r="63" spans="1:7" x14ac:dyDescent="0.25">
      <c r="A63" t="s">
        <v>292</v>
      </c>
      <c r="B63" t="s">
        <v>271</v>
      </c>
      <c r="C63" t="s">
        <v>290</v>
      </c>
      <c r="D63" t="s">
        <v>0</v>
      </c>
      <c r="E63">
        <v>32605</v>
      </c>
      <c r="F63">
        <v>9781.5</v>
      </c>
      <c r="G63">
        <v>45681</v>
      </c>
    </row>
    <row r="64" spans="1:7" x14ac:dyDescent="0.25">
      <c r="A64" t="s">
        <v>291</v>
      </c>
      <c r="B64" t="s">
        <v>272</v>
      </c>
      <c r="C64" t="s">
        <v>227</v>
      </c>
      <c r="D64" t="s">
        <v>1</v>
      </c>
      <c r="E64">
        <v>35157</v>
      </c>
      <c r="F64">
        <v>5625.12</v>
      </c>
      <c r="G64">
        <v>45701</v>
      </c>
    </row>
    <row r="65" spans="1:7" x14ac:dyDescent="0.25">
      <c r="A65" t="s">
        <v>289</v>
      </c>
      <c r="B65" t="s">
        <v>273</v>
      </c>
      <c r="C65" t="s">
        <v>290</v>
      </c>
      <c r="D65" t="s">
        <v>2</v>
      </c>
      <c r="E65">
        <v>26938</v>
      </c>
      <c r="F65">
        <v>4310.08</v>
      </c>
      <c r="G65">
        <v>45729</v>
      </c>
    </row>
    <row r="66" spans="1:7" x14ac:dyDescent="0.25">
      <c r="A66" t="s">
        <v>289</v>
      </c>
      <c r="B66" t="s">
        <v>272</v>
      </c>
      <c r="C66" t="s">
        <v>227</v>
      </c>
      <c r="D66" t="s">
        <v>2</v>
      </c>
      <c r="E66">
        <v>23140</v>
      </c>
      <c r="F66">
        <v>3239.6</v>
      </c>
      <c r="G66">
        <v>45712</v>
      </c>
    </row>
    <row r="67" spans="1:7" x14ac:dyDescent="0.25">
      <c r="A67" t="s">
        <v>291</v>
      </c>
      <c r="B67" t="s">
        <v>273</v>
      </c>
      <c r="C67" t="s">
        <v>293</v>
      </c>
      <c r="D67" t="s">
        <v>0</v>
      </c>
      <c r="E67">
        <v>39711</v>
      </c>
      <c r="F67">
        <v>6353.76</v>
      </c>
      <c r="G67">
        <v>45741</v>
      </c>
    </row>
    <row r="68" spans="1:7" x14ac:dyDescent="0.25">
      <c r="A68" t="s">
        <v>291</v>
      </c>
      <c r="B68" t="s">
        <v>271</v>
      </c>
      <c r="C68" t="s">
        <v>227</v>
      </c>
      <c r="D68" t="s">
        <v>2</v>
      </c>
      <c r="E68">
        <v>22840</v>
      </c>
      <c r="F68">
        <v>5481.6</v>
      </c>
      <c r="G68">
        <v>45671</v>
      </c>
    </row>
    <row r="69" spans="1:7" x14ac:dyDescent="0.25">
      <c r="A69" t="s">
        <v>288</v>
      </c>
      <c r="B69" t="s">
        <v>272</v>
      </c>
      <c r="C69" t="s">
        <v>223</v>
      </c>
      <c r="D69" t="s">
        <v>0</v>
      </c>
      <c r="E69">
        <v>24033</v>
      </c>
      <c r="F69">
        <v>6488.91</v>
      </c>
      <c r="G69">
        <v>45696</v>
      </c>
    </row>
    <row r="70" spans="1:7" x14ac:dyDescent="0.25">
      <c r="A70" t="s">
        <v>292</v>
      </c>
      <c r="B70" t="s">
        <v>271</v>
      </c>
      <c r="C70" t="s">
        <v>290</v>
      </c>
      <c r="D70" t="s">
        <v>2</v>
      </c>
      <c r="E70">
        <v>19320</v>
      </c>
      <c r="F70">
        <v>2704.8</v>
      </c>
      <c r="G70">
        <v>45679</v>
      </c>
    </row>
    <row r="71" spans="1:7" x14ac:dyDescent="0.25">
      <c r="A71" t="s">
        <v>289</v>
      </c>
      <c r="B71" t="s">
        <v>272</v>
      </c>
      <c r="C71" t="s">
        <v>225</v>
      </c>
      <c r="D71" t="s">
        <v>0</v>
      </c>
      <c r="E71">
        <v>25551</v>
      </c>
      <c r="F71">
        <v>1788.57</v>
      </c>
      <c r="G71">
        <v>45694</v>
      </c>
    </row>
    <row r="72" spans="1:7" x14ac:dyDescent="0.25">
      <c r="A72" t="s">
        <v>288</v>
      </c>
      <c r="B72" t="s">
        <v>273</v>
      </c>
      <c r="C72" t="s">
        <v>223</v>
      </c>
      <c r="D72" t="s">
        <v>1</v>
      </c>
      <c r="E72">
        <v>38869</v>
      </c>
      <c r="F72">
        <v>10883.32</v>
      </c>
      <c r="G72">
        <v>45736</v>
      </c>
    </row>
    <row r="73" spans="1:7" x14ac:dyDescent="0.25">
      <c r="A73" t="s">
        <v>292</v>
      </c>
      <c r="B73" t="s">
        <v>271</v>
      </c>
      <c r="C73" t="s">
        <v>227</v>
      </c>
      <c r="D73" t="s">
        <v>1</v>
      </c>
      <c r="E73">
        <v>14854</v>
      </c>
      <c r="F73">
        <v>3564.96</v>
      </c>
      <c r="G73">
        <v>45681</v>
      </c>
    </row>
    <row r="74" spans="1:7" x14ac:dyDescent="0.25">
      <c r="A74" t="s">
        <v>289</v>
      </c>
      <c r="B74" t="s">
        <v>271</v>
      </c>
      <c r="C74" t="s">
        <v>223</v>
      </c>
      <c r="D74" t="s">
        <v>1</v>
      </c>
      <c r="E74">
        <v>36652</v>
      </c>
      <c r="F74">
        <v>2932.16</v>
      </c>
      <c r="G74">
        <v>45674</v>
      </c>
    </row>
    <row r="75" spans="1:7" x14ac:dyDescent="0.25">
      <c r="A75" t="s">
        <v>292</v>
      </c>
      <c r="B75" t="s">
        <v>273</v>
      </c>
      <c r="C75" t="s">
        <v>225</v>
      </c>
      <c r="D75" t="s">
        <v>1</v>
      </c>
      <c r="E75">
        <v>24629</v>
      </c>
      <c r="F75">
        <v>5172.09</v>
      </c>
      <c r="G75">
        <v>45727</v>
      </c>
    </row>
    <row r="76" spans="1:7" x14ac:dyDescent="0.25">
      <c r="A76" t="s">
        <v>291</v>
      </c>
      <c r="B76" t="s">
        <v>272</v>
      </c>
      <c r="C76" t="s">
        <v>227</v>
      </c>
      <c r="D76" t="s">
        <v>0</v>
      </c>
      <c r="E76">
        <v>13625</v>
      </c>
      <c r="F76">
        <v>3951.25</v>
      </c>
      <c r="G76">
        <v>45699</v>
      </c>
    </row>
    <row r="77" spans="1:7" x14ac:dyDescent="0.25">
      <c r="A77" t="s">
        <v>288</v>
      </c>
      <c r="B77" t="s">
        <v>273</v>
      </c>
      <c r="C77" t="s">
        <v>290</v>
      </c>
      <c r="D77" t="s">
        <v>1</v>
      </c>
      <c r="E77">
        <v>22739</v>
      </c>
      <c r="F77">
        <v>3410.85</v>
      </c>
      <c r="G77">
        <v>45719</v>
      </c>
    </row>
    <row r="78" spans="1:7" x14ac:dyDescent="0.25">
      <c r="A78" t="s">
        <v>292</v>
      </c>
      <c r="B78" t="s">
        <v>273</v>
      </c>
      <c r="C78" t="s">
        <v>293</v>
      </c>
      <c r="D78" t="s">
        <v>2</v>
      </c>
      <c r="E78">
        <v>11493</v>
      </c>
      <c r="F78">
        <v>2758.32</v>
      </c>
      <c r="G78">
        <v>45744</v>
      </c>
    </row>
    <row r="79" spans="1:7" x14ac:dyDescent="0.25">
      <c r="A79" t="s">
        <v>291</v>
      </c>
      <c r="B79" t="s">
        <v>271</v>
      </c>
      <c r="C79" t="s">
        <v>223</v>
      </c>
      <c r="D79" t="s">
        <v>1</v>
      </c>
      <c r="E79">
        <v>24712</v>
      </c>
      <c r="F79">
        <v>2965.44</v>
      </c>
      <c r="G79">
        <v>45680</v>
      </c>
    </row>
    <row r="80" spans="1:7" x14ac:dyDescent="0.25">
      <c r="A80" t="s">
        <v>288</v>
      </c>
      <c r="B80" t="s">
        <v>271</v>
      </c>
      <c r="C80" t="s">
        <v>293</v>
      </c>
      <c r="D80" t="s">
        <v>2</v>
      </c>
      <c r="E80">
        <v>28703</v>
      </c>
      <c r="F80">
        <v>5166.54</v>
      </c>
      <c r="G80">
        <v>45680</v>
      </c>
    </row>
    <row r="81" spans="1:7" x14ac:dyDescent="0.25">
      <c r="A81" t="s">
        <v>292</v>
      </c>
      <c r="B81" t="s">
        <v>273</v>
      </c>
      <c r="C81" t="s">
        <v>223</v>
      </c>
      <c r="D81" t="s">
        <v>2</v>
      </c>
      <c r="E81">
        <v>13629</v>
      </c>
      <c r="F81">
        <v>3952.41</v>
      </c>
      <c r="G81">
        <v>45741</v>
      </c>
    </row>
    <row r="82" spans="1:7" x14ac:dyDescent="0.25">
      <c r="A82" t="s">
        <v>291</v>
      </c>
      <c r="B82" t="s">
        <v>271</v>
      </c>
      <c r="C82" t="s">
        <v>227</v>
      </c>
      <c r="D82" t="s">
        <v>2</v>
      </c>
      <c r="E82">
        <v>11055</v>
      </c>
      <c r="F82">
        <v>2321.5500000000002</v>
      </c>
      <c r="G82">
        <v>45665</v>
      </c>
    </row>
    <row r="83" spans="1:7" x14ac:dyDescent="0.25">
      <c r="A83" t="s">
        <v>288</v>
      </c>
      <c r="B83" t="s">
        <v>273</v>
      </c>
      <c r="C83" t="s">
        <v>223</v>
      </c>
      <c r="D83" t="s">
        <v>0</v>
      </c>
      <c r="E83">
        <v>25933</v>
      </c>
      <c r="F83">
        <v>3889.95</v>
      </c>
      <c r="G83">
        <v>45742</v>
      </c>
    </row>
    <row r="84" spans="1:7" x14ac:dyDescent="0.25">
      <c r="A84" t="s">
        <v>291</v>
      </c>
      <c r="B84" t="s">
        <v>272</v>
      </c>
      <c r="C84" t="s">
        <v>225</v>
      </c>
      <c r="D84" t="s">
        <v>0</v>
      </c>
      <c r="E84">
        <v>16795</v>
      </c>
      <c r="F84">
        <v>2519.25</v>
      </c>
      <c r="G84">
        <v>45694</v>
      </c>
    </row>
    <row r="85" spans="1:7" x14ac:dyDescent="0.25">
      <c r="A85" t="s">
        <v>288</v>
      </c>
      <c r="B85" t="s">
        <v>272</v>
      </c>
      <c r="C85" t="s">
        <v>225</v>
      </c>
      <c r="D85" t="s">
        <v>0</v>
      </c>
      <c r="E85">
        <v>30424</v>
      </c>
      <c r="F85">
        <v>1825.44</v>
      </c>
      <c r="G85">
        <v>45706</v>
      </c>
    </row>
    <row r="86" spans="1:7" x14ac:dyDescent="0.25">
      <c r="A86" t="s">
        <v>291</v>
      </c>
      <c r="B86" t="s">
        <v>272</v>
      </c>
      <c r="C86" t="s">
        <v>223</v>
      </c>
      <c r="D86" t="s">
        <v>1</v>
      </c>
      <c r="E86">
        <v>15588</v>
      </c>
      <c r="F86">
        <v>3273.48</v>
      </c>
      <c r="G86">
        <v>45713</v>
      </c>
    </row>
    <row r="87" spans="1:7" x14ac:dyDescent="0.25">
      <c r="A87" t="s">
        <v>288</v>
      </c>
      <c r="B87" t="s">
        <v>273</v>
      </c>
      <c r="C87" t="s">
        <v>293</v>
      </c>
      <c r="D87" t="s">
        <v>0</v>
      </c>
      <c r="E87">
        <v>20278</v>
      </c>
      <c r="F87">
        <v>4866.72</v>
      </c>
      <c r="G87">
        <v>45741</v>
      </c>
    </row>
    <row r="88" spans="1:7" x14ac:dyDescent="0.25">
      <c r="A88" t="s">
        <v>288</v>
      </c>
      <c r="B88" t="s">
        <v>271</v>
      </c>
      <c r="C88" t="s">
        <v>223</v>
      </c>
      <c r="D88" t="s">
        <v>2</v>
      </c>
      <c r="E88">
        <v>29389</v>
      </c>
      <c r="F88">
        <v>8228.92</v>
      </c>
      <c r="G88">
        <v>45684</v>
      </c>
    </row>
    <row r="89" spans="1:7" x14ac:dyDescent="0.25">
      <c r="A89" t="s">
        <v>289</v>
      </c>
      <c r="B89" t="s">
        <v>273</v>
      </c>
      <c r="C89" t="s">
        <v>293</v>
      </c>
      <c r="D89" t="s">
        <v>1</v>
      </c>
      <c r="E89">
        <v>26750</v>
      </c>
      <c r="F89">
        <v>1605</v>
      </c>
      <c r="G89">
        <v>45726</v>
      </c>
    </row>
    <row r="90" spans="1:7" x14ac:dyDescent="0.25">
      <c r="A90" t="s">
        <v>289</v>
      </c>
      <c r="B90" t="s">
        <v>273</v>
      </c>
      <c r="C90" t="s">
        <v>290</v>
      </c>
      <c r="D90" t="s">
        <v>0</v>
      </c>
      <c r="E90">
        <v>36699</v>
      </c>
      <c r="F90">
        <v>4403.88</v>
      </c>
      <c r="G90">
        <v>45728</v>
      </c>
    </row>
    <row r="91" spans="1:7" x14ac:dyDescent="0.25">
      <c r="A91" t="s">
        <v>291</v>
      </c>
      <c r="B91" t="s">
        <v>272</v>
      </c>
      <c r="C91" t="s">
        <v>227</v>
      </c>
      <c r="D91" t="s">
        <v>0</v>
      </c>
      <c r="E91">
        <v>29281</v>
      </c>
      <c r="F91">
        <v>1756.86</v>
      </c>
      <c r="G91">
        <v>45695</v>
      </c>
    </row>
    <row r="92" spans="1:7" x14ac:dyDescent="0.25">
      <c r="A92" t="s">
        <v>291</v>
      </c>
      <c r="B92" t="s">
        <v>271</v>
      </c>
      <c r="C92" t="s">
        <v>290</v>
      </c>
      <c r="D92" t="s">
        <v>0</v>
      </c>
      <c r="E92">
        <v>19361</v>
      </c>
      <c r="F92">
        <v>5033.8599999999997</v>
      </c>
      <c r="G92">
        <v>45661</v>
      </c>
    </row>
    <row r="93" spans="1:7" x14ac:dyDescent="0.25">
      <c r="A93" t="s">
        <v>291</v>
      </c>
      <c r="B93" t="s">
        <v>271</v>
      </c>
      <c r="C93" t="s">
        <v>293</v>
      </c>
      <c r="D93" t="s">
        <v>1</v>
      </c>
      <c r="E93">
        <v>38914</v>
      </c>
      <c r="F93">
        <v>6226.24</v>
      </c>
      <c r="G93">
        <v>45668</v>
      </c>
    </row>
    <row r="94" spans="1:7" x14ac:dyDescent="0.25">
      <c r="A94" t="s">
        <v>291</v>
      </c>
      <c r="B94" t="s">
        <v>271</v>
      </c>
      <c r="C94" t="s">
        <v>225</v>
      </c>
      <c r="D94" t="s">
        <v>2</v>
      </c>
      <c r="E94">
        <v>25694</v>
      </c>
      <c r="F94">
        <v>5909.62</v>
      </c>
      <c r="G94">
        <v>45688</v>
      </c>
    </row>
    <row r="95" spans="1:7" x14ac:dyDescent="0.25">
      <c r="A95" t="s">
        <v>288</v>
      </c>
      <c r="B95" t="s">
        <v>273</v>
      </c>
      <c r="C95" t="s">
        <v>290</v>
      </c>
      <c r="D95" t="s">
        <v>0</v>
      </c>
      <c r="E95">
        <v>17833</v>
      </c>
      <c r="F95">
        <v>2139.96</v>
      </c>
      <c r="G95">
        <v>45733</v>
      </c>
    </row>
    <row r="96" spans="1:7" x14ac:dyDescent="0.25">
      <c r="A96" t="s">
        <v>288</v>
      </c>
      <c r="B96" t="s">
        <v>272</v>
      </c>
      <c r="C96" t="s">
        <v>290</v>
      </c>
      <c r="D96" t="s">
        <v>0</v>
      </c>
      <c r="E96">
        <v>17159</v>
      </c>
      <c r="F96">
        <v>2573.85</v>
      </c>
      <c r="G96">
        <v>45701</v>
      </c>
    </row>
    <row r="97" spans="1:7" x14ac:dyDescent="0.25">
      <c r="A97" t="s">
        <v>292</v>
      </c>
      <c r="B97" t="s">
        <v>271</v>
      </c>
      <c r="C97" t="s">
        <v>290</v>
      </c>
      <c r="D97" t="s">
        <v>1</v>
      </c>
      <c r="E97">
        <v>19758</v>
      </c>
      <c r="F97">
        <v>1580.64</v>
      </c>
      <c r="G97">
        <v>45686</v>
      </c>
    </row>
    <row r="98" spans="1:7" x14ac:dyDescent="0.25">
      <c r="A98" t="s">
        <v>289</v>
      </c>
      <c r="B98" t="s">
        <v>273</v>
      </c>
      <c r="C98" t="s">
        <v>227</v>
      </c>
      <c r="D98" t="s">
        <v>0</v>
      </c>
      <c r="E98">
        <v>36840</v>
      </c>
      <c r="F98">
        <v>2578.8000000000002</v>
      </c>
      <c r="G98">
        <v>45742</v>
      </c>
    </row>
    <row r="99" spans="1:7" x14ac:dyDescent="0.25">
      <c r="A99" t="s">
        <v>288</v>
      </c>
      <c r="B99" t="s">
        <v>271</v>
      </c>
      <c r="C99" t="s">
        <v>290</v>
      </c>
      <c r="D99" t="s">
        <v>1</v>
      </c>
      <c r="E99">
        <v>21622</v>
      </c>
      <c r="F99">
        <v>3459.52</v>
      </c>
      <c r="G99">
        <v>45677</v>
      </c>
    </row>
    <row r="100" spans="1:7" x14ac:dyDescent="0.25">
      <c r="A100" t="s">
        <v>289</v>
      </c>
      <c r="B100" t="s">
        <v>272</v>
      </c>
      <c r="C100" t="s">
        <v>293</v>
      </c>
      <c r="D100" t="s">
        <v>1</v>
      </c>
      <c r="E100">
        <v>18626</v>
      </c>
      <c r="F100">
        <v>2048.86</v>
      </c>
      <c r="G100">
        <v>45709</v>
      </c>
    </row>
    <row r="101" spans="1:7" x14ac:dyDescent="0.25">
      <c r="A101" t="s">
        <v>288</v>
      </c>
      <c r="B101" t="s">
        <v>271</v>
      </c>
      <c r="C101" t="s">
        <v>225</v>
      </c>
      <c r="D101" t="s">
        <v>1</v>
      </c>
      <c r="E101">
        <v>32255</v>
      </c>
      <c r="F101">
        <v>4193.1499999999996</v>
      </c>
      <c r="G101">
        <v>45668</v>
      </c>
    </row>
    <row r="102" spans="1:7" x14ac:dyDescent="0.25">
      <c r="A102" t="s">
        <v>288</v>
      </c>
      <c r="B102" t="s">
        <v>271</v>
      </c>
      <c r="C102" t="s">
        <v>225</v>
      </c>
      <c r="D102" t="s">
        <v>1</v>
      </c>
      <c r="E102">
        <v>10483</v>
      </c>
      <c r="F102">
        <v>1991.77</v>
      </c>
      <c r="G102">
        <v>45684</v>
      </c>
    </row>
    <row r="103" spans="1:7" x14ac:dyDescent="0.25">
      <c r="A103" t="s">
        <v>289</v>
      </c>
      <c r="B103" t="s">
        <v>273</v>
      </c>
      <c r="C103" t="s">
        <v>223</v>
      </c>
      <c r="D103" t="s">
        <v>2</v>
      </c>
      <c r="E103">
        <v>30168</v>
      </c>
      <c r="F103">
        <v>8447.0400000000009</v>
      </c>
      <c r="G103">
        <v>45739</v>
      </c>
    </row>
    <row r="104" spans="1:7" x14ac:dyDescent="0.25">
      <c r="A104" t="s">
        <v>291</v>
      </c>
      <c r="B104" t="s">
        <v>272</v>
      </c>
      <c r="C104" t="s">
        <v>227</v>
      </c>
      <c r="D104" t="s">
        <v>2</v>
      </c>
      <c r="E104">
        <v>39227</v>
      </c>
      <c r="F104">
        <v>8629.94</v>
      </c>
      <c r="G104">
        <v>45693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C7AC-AD23-474E-9128-00205A69A2C6}">
  <dimension ref="A1:G9"/>
  <sheetViews>
    <sheetView zoomScale="120" zoomScaleNormal="120" workbookViewId="0">
      <selection activeCell="D12" sqref="D12"/>
    </sheetView>
  </sheetViews>
  <sheetFormatPr defaultRowHeight="15" x14ac:dyDescent="0.25"/>
  <cols>
    <col min="1" max="1" width="21.28515625" customWidth="1"/>
    <col min="2" max="2" width="13.42578125" customWidth="1"/>
    <col min="3" max="3" width="14.28515625" customWidth="1"/>
    <col min="5" max="5" width="20.85546875" bestFit="1" customWidth="1"/>
  </cols>
  <sheetData>
    <row r="1" spans="1:7" x14ac:dyDescent="0.25">
      <c r="A1" t="s">
        <v>252</v>
      </c>
      <c r="B1" t="s">
        <v>405</v>
      </c>
      <c r="C1" t="s">
        <v>406</v>
      </c>
      <c r="E1" t="s">
        <v>252</v>
      </c>
    </row>
    <row r="2" spans="1:7" x14ac:dyDescent="0.25">
      <c r="A2" t="s">
        <v>397</v>
      </c>
      <c r="B2" t="str">
        <f>LEFT(A2,FIND(" ",A2)-1)</f>
        <v>Aravind</v>
      </c>
      <c r="C2" t="str">
        <f>RIGHT(A2,LEN(A2)-FIND(" ",A2))</f>
        <v>Illu</v>
      </c>
      <c r="E2" t="s">
        <v>397</v>
      </c>
      <c r="F2" s="22" t="s">
        <v>291</v>
      </c>
      <c r="G2" s="22" t="s">
        <v>407</v>
      </c>
    </row>
    <row r="3" spans="1:7" x14ac:dyDescent="0.25">
      <c r="A3" t="s">
        <v>398</v>
      </c>
      <c r="B3" t="str">
        <f t="shared" ref="B3:B9" si="0">LEFT(A3,FIND(" ",A3)-1)</f>
        <v>Pavan</v>
      </c>
      <c r="C3" t="str">
        <f t="shared" ref="C3:C9" si="1">RIGHT(A3,LEN(A3)-FIND(" ",A3))</f>
        <v>Kalyan</v>
      </c>
      <c r="E3" t="s">
        <v>398</v>
      </c>
      <c r="F3" s="22" t="s">
        <v>292</v>
      </c>
      <c r="G3" s="22" t="s">
        <v>288</v>
      </c>
    </row>
    <row r="4" spans="1:7" x14ac:dyDescent="0.25">
      <c r="A4" t="s">
        <v>399</v>
      </c>
      <c r="B4" t="str">
        <f t="shared" si="0"/>
        <v>Sai</v>
      </c>
      <c r="C4" t="str">
        <f t="shared" si="1"/>
        <v>Pavan</v>
      </c>
      <c r="E4" t="s">
        <v>399</v>
      </c>
      <c r="F4" s="22" t="s">
        <v>408</v>
      </c>
      <c r="G4" s="22" t="s">
        <v>292</v>
      </c>
    </row>
    <row r="5" spans="1:7" x14ac:dyDescent="0.25">
      <c r="A5" t="s">
        <v>400</v>
      </c>
      <c r="B5" t="str">
        <f t="shared" si="0"/>
        <v>Srilekha</v>
      </c>
      <c r="C5" t="str">
        <f t="shared" si="1"/>
        <v>Varma</v>
      </c>
      <c r="E5" t="s">
        <v>400</v>
      </c>
      <c r="F5" s="22" t="s">
        <v>386</v>
      </c>
      <c r="G5" s="22" t="s">
        <v>409</v>
      </c>
    </row>
    <row r="6" spans="1:7" x14ac:dyDescent="0.25">
      <c r="A6" t="s">
        <v>401</v>
      </c>
      <c r="B6" t="str">
        <f t="shared" si="0"/>
        <v>Pushpa</v>
      </c>
      <c r="C6" t="str">
        <f t="shared" si="1"/>
        <v>Bhavani</v>
      </c>
      <c r="E6" t="s">
        <v>401</v>
      </c>
      <c r="F6" s="22" t="s">
        <v>387</v>
      </c>
      <c r="G6" s="22" t="s">
        <v>410</v>
      </c>
    </row>
    <row r="7" spans="1:7" x14ac:dyDescent="0.25">
      <c r="A7" t="s">
        <v>402</v>
      </c>
      <c r="B7" t="str">
        <f t="shared" si="0"/>
        <v>Puli</v>
      </c>
      <c r="C7" t="str">
        <f t="shared" si="1"/>
        <v>Shiva</v>
      </c>
      <c r="E7" t="s">
        <v>402</v>
      </c>
      <c r="F7" s="22" t="s">
        <v>382</v>
      </c>
      <c r="G7" s="22" t="s">
        <v>411</v>
      </c>
    </row>
    <row r="8" spans="1:7" x14ac:dyDescent="0.25">
      <c r="A8" t="s">
        <v>403</v>
      </c>
      <c r="B8" t="str">
        <f t="shared" si="0"/>
        <v>Phanindra</v>
      </c>
      <c r="C8" t="str">
        <f t="shared" si="1"/>
        <v>Chowdhary</v>
      </c>
      <c r="E8" t="s">
        <v>403</v>
      </c>
      <c r="F8" s="22" t="s">
        <v>412</v>
      </c>
      <c r="G8" s="22" t="s">
        <v>413</v>
      </c>
    </row>
    <row r="9" spans="1:7" x14ac:dyDescent="0.25">
      <c r="A9" t="s">
        <v>404</v>
      </c>
      <c r="B9" t="str">
        <f t="shared" si="0"/>
        <v>Niharika</v>
      </c>
      <c r="C9" t="str">
        <f t="shared" si="1"/>
        <v>Kusa</v>
      </c>
      <c r="E9" t="s">
        <v>404</v>
      </c>
      <c r="F9" s="22" t="s">
        <v>385</v>
      </c>
      <c r="G9" s="22" t="s">
        <v>414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EDA3-A793-45F3-9C5F-E3A3C9E05FB1}">
  <dimension ref="A1:G101"/>
  <sheetViews>
    <sheetView tabSelected="1" workbookViewId="0">
      <selection activeCell="I8" sqref="I8"/>
    </sheetView>
  </sheetViews>
  <sheetFormatPr defaultRowHeight="15" x14ac:dyDescent="0.25"/>
  <sheetData>
    <row r="1" spans="1:7" x14ac:dyDescent="0.25">
      <c r="A1" s="1" t="s">
        <v>252</v>
      </c>
      <c r="B1" s="1" t="s">
        <v>270</v>
      </c>
      <c r="C1" s="1" t="s">
        <v>220</v>
      </c>
      <c r="D1" s="1" t="s">
        <v>10</v>
      </c>
      <c r="E1" s="1" t="s">
        <v>218</v>
      </c>
      <c r="F1" s="1" t="s">
        <v>287</v>
      </c>
      <c r="G1" s="1" t="s">
        <v>217</v>
      </c>
    </row>
    <row r="2" spans="1:7" x14ac:dyDescent="0.25">
      <c r="A2" t="s">
        <v>291</v>
      </c>
      <c r="B2" t="s">
        <v>271</v>
      </c>
      <c r="C2" t="s">
        <v>225</v>
      </c>
      <c r="D2" t="s">
        <v>2</v>
      </c>
      <c r="E2">
        <v>10107</v>
      </c>
      <c r="F2">
        <v>2021.4</v>
      </c>
      <c r="G2">
        <v>45673</v>
      </c>
    </row>
    <row r="3" spans="1:7" x14ac:dyDescent="0.25">
      <c r="A3" t="s">
        <v>292</v>
      </c>
      <c r="B3" t="s">
        <v>271</v>
      </c>
      <c r="C3" t="s">
        <v>223</v>
      </c>
      <c r="D3" t="s">
        <v>1</v>
      </c>
      <c r="E3">
        <v>34572</v>
      </c>
      <c r="F3">
        <v>6914.4</v>
      </c>
      <c r="G3">
        <v>45684</v>
      </c>
    </row>
    <row r="4" spans="1:7" x14ac:dyDescent="0.25">
      <c r="A4" t="s">
        <v>289</v>
      </c>
      <c r="B4" t="s">
        <v>272</v>
      </c>
      <c r="C4" t="s">
        <v>227</v>
      </c>
      <c r="D4" t="s">
        <v>2</v>
      </c>
      <c r="E4">
        <v>23026</v>
      </c>
      <c r="F4">
        <v>4144.68</v>
      </c>
      <c r="G4">
        <v>45715</v>
      </c>
    </row>
    <row r="5" spans="1:7" x14ac:dyDescent="0.25">
      <c r="A5" t="s">
        <v>289</v>
      </c>
      <c r="B5" t="s">
        <v>271</v>
      </c>
      <c r="C5" t="s">
        <v>293</v>
      </c>
      <c r="D5" t="s">
        <v>2</v>
      </c>
      <c r="E5">
        <v>24153</v>
      </c>
      <c r="F5">
        <v>6762.84</v>
      </c>
      <c r="G5">
        <v>45662</v>
      </c>
    </row>
    <row r="6" spans="1:7" x14ac:dyDescent="0.25">
      <c r="A6" t="s">
        <v>289</v>
      </c>
      <c r="B6" t="s">
        <v>272</v>
      </c>
      <c r="C6" t="s">
        <v>227</v>
      </c>
      <c r="D6" t="s">
        <v>0</v>
      </c>
      <c r="E6">
        <v>39752</v>
      </c>
      <c r="F6">
        <v>6757.84</v>
      </c>
      <c r="G6">
        <v>45690</v>
      </c>
    </row>
    <row r="7" spans="1:7" x14ac:dyDescent="0.25">
      <c r="A7" t="s">
        <v>291</v>
      </c>
      <c r="B7" t="s">
        <v>273</v>
      </c>
      <c r="C7" t="s">
        <v>225</v>
      </c>
      <c r="D7" t="s">
        <v>2</v>
      </c>
      <c r="E7">
        <v>13702</v>
      </c>
      <c r="F7">
        <v>959.14</v>
      </c>
      <c r="G7">
        <v>45722</v>
      </c>
    </row>
    <row r="8" spans="1:7" x14ac:dyDescent="0.25">
      <c r="A8" t="s">
        <v>291</v>
      </c>
      <c r="B8" t="s">
        <v>272</v>
      </c>
      <c r="C8" t="s">
        <v>290</v>
      </c>
      <c r="D8" t="s">
        <v>0</v>
      </c>
      <c r="E8">
        <v>16726</v>
      </c>
      <c r="F8">
        <v>836.3</v>
      </c>
      <c r="G8">
        <v>45708</v>
      </c>
    </row>
    <row r="9" spans="1:7" x14ac:dyDescent="0.25">
      <c r="A9" t="s">
        <v>288</v>
      </c>
      <c r="B9" t="s">
        <v>272</v>
      </c>
      <c r="C9" t="s">
        <v>223</v>
      </c>
      <c r="D9" t="s">
        <v>2</v>
      </c>
      <c r="E9">
        <v>14606</v>
      </c>
      <c r="F9">
        <v>2921.2</v>
      </c>
      <c r="G9">
        <v>45706</v>
      </c>
    </row>
    <row r="10" spans="1:7" x14ac:dyDescent="0.25">
      <c r="A10" t="s">
        <v>292</v>
      </c>
      <c r="B10" t="s">
        <v>272</v>
      </c>
      <c r="C10" t="s">
        <v>223</v>
      </c>
      <c r="D10" t="s">
        <v>1</v>
      </c>
      <c r="E10">
        <v>27750</v>
      </c>
      <c r="F10">
        <v>7215</v>
      </c>
      <c r="G10">
        <v>45707</v>
      </c>
    </row>
    <row r="11" spans="1:7" x14ac:dyDescent="0.25">
      <c r="A11" t="s">
        <v>288</v>
      </c>
      <c r="B11" t="s">
        <v>271</v>
      </c>
      <c r="C11" t="s">
        <v>290</v>
      </c>
      <c r="D11" t="s">
        <v>1</v>
      </c>
      <c r="E11">
        <v>19238</v>
      </c>
      <c r="F11">
        <v>4232.3599999999997</v>
      </c>
      <c r="G11">
        <v>45664</v>
      </c>
    </row>
    <row r="12" spans="1:7" x14ac:dyDescent="0.25">
      <c r="A12" t="s">
        <v>291</v>
      </c>
      <c r="B12" t="s">
        <v>273</v>
      </c>
      <c r="C12" t="s">
        <v>290</v>
      </c>
      <c r="D12" t="s">
        <v>2</v>
      </c>
      <c r="E12">
        <v>32426</v>
      </c>
      <c r="F12">
        <v>9403.5400000000009</v>
      </c>
      <c r="G12">
        <v>45739</v>
      </c>
    </row>
    <row r="13" spans="1:7" x14ac:dyDescent="0.25">
      <c r="A13" t="s">
        <v>291</v>
      </c>
      <c r="B13" t="s">
        <v>273</v>
      </c>
      <c r="C13" t="s">
        <v>225</v>
      </c>
      <c r="D13" t="s">
        <v>2</v>
      </c>
      <c r="E13">
        <v>33943</v>
      </c>
      <c r="F13">
        <v>4412.59</v>
      </c>
      <c r="G13">
        <v>45718</v>
      </c>
    </row>
    <row r="14" spans="1:7" x14ac:dyDescent="0.25">
      <c r="A14" t="s">
        <v>292</v>
      </c>
      <c r="B14" t="s">
        <v>272</v>
      </c>
      <c r="C14" t="s">
        <v>225</v>
      </c>
      <c r="D14" t="s">
        <v>1</v>
      </c>
      <c r="E14">
        <v>38693</v>
      </c>
      <c r="F14">
        <v>8899.39</v>
      </c>
      <c r="G14">
        <v>45705</v>
      </c>
    </row>
    <row r="15" spans="1:7" x14ac:dyDescent="0.25">
      <c r="A15" t="s">
        <v>291</v>
      </c>
      <c r="B15" t="s">
        <v>272</v>
      </c>
      <c r="C15" t="s">
        <v>290</v>
      </c>
      <c r="D15" t="s">
        <v>1</v>
      </c>
      <c r="E15">
        <v>22964</v>
      </c>
      <c r="F15">
        <v>1607.48</v>
      </c>
      <c r="G15">
        <v>45705</v>
      </c>
    </row>
    <row r="16" spans="1:7" x14ac:dyDescent="0.25">
      <c r="A16" t="s">
        <v>291</v>
      </c>
      <c r="B16" t="s">
        <v>272</v>
      </c>
      <c r="C16" t="s">
        <v>225</v>
      </c>
      <c r="D16" t="s">
        <v>2</v>
      </c>
      <c r="E16">
        <v>28527</v>
      </c>
      <c r="F16">
        <v>6846.48</v>
      </c>
      <c r="G16">
        <v>45701</v>
      </c>
    </row>
    <row r="17" spans="1:7" x14ac:dyDescent="0.25">
      <c r="A17" t="s">
        <v>289</v>
      </c>
      <c r="B17" t="s">
        <v>272</v>
      </c>
      <c r="C17" t="s">
        <v>223</v>
      </c>
      <c r="D17" t="s">
        <v>2</v>
      </c>
      <c r="E17">
        <v>21575</v>
      </c>
      <c r="F17">
        <v>3020.5</v>
      </c>
      <c r="G17">
        <v>45705</v>
      </c>
    </row>
    <row r="18" spans="1:7" x14ac:dyDescent="0.25">
      <c r="A18" t="s">
        <v>289</v>
      </c>
      <c r="B18" t="s">
        <v>271</v>
      </c>
      <c r="C18" t="s">
        <v>225</v>
      </c>
      <c r="D18" t="s">
        <v>1</v>
      </c>
      <c r="E18">
        <v>39387</v>
      </c>
      <c r="F18">
        <v>11422.23</v>
      </c>
      <c r="G18">
        <v>45677</v>
      </c>
    </row>
    <row r="19" spans="1:7" x14ac:dyDescent="0.25">
      <c r="A19" t="s">
        <v>292</v>
      </c>
      <c r="B19" t="s">
        <v>273</v>
      </c>
      <c r="C19" t="s">
        <v>227</v>
      </c>
      <c r="D19" t="s">
        <v>0</v>
      </c>
      <c r="E19">
        <v>32806</v>
      </c>
      <c r="F19">
        <v>4264.78</v>
      </c>
      <c r="G19">
        <v>45726</v>
      </c>
    </row>
    <row r="20" spans="1:7" x14ac:dyDescent="0.25">
      <c r="A20" t="s">
        <v>288</v>
      </c>
      <c r="B20" t="s">
        <v>271</v>
      </c>
      <c r="C20" t="s">
        <v>227</v>
      </c>
      <c r="D20" t="s">
        <v>2</v>
      </c>
      <c r="E20">
        <v>39047</v>
      </c>
      <c r="F20">
        <v>3514.23</v>
      </c>
      <c r="G20">
        <v>45688</v>
      </c>
    </row>
    <row r="21" spans="1:7" x14ac:dyDescent="0.25">
      <c r="A21" t="s">
        <v>289</v>
      </c>
      <c r="B21" t="s">
        <v>272</v>
      </c>
      <c r="C21" t="s">
        <v>223</v>
      </c>
      <c r="D21" t="s">
        <v>0</v>
      </c>
      <c r="E21">
        <v>27577</v>
      </c>
      <c r="F21">
        <v>1930.39</v>
      </c>
      <c r="G21">
        <v>45700</v>
      </c>
    </row>
    <row r="22" spans="1:7" x14ac:dyDescent="0.25">
      <c r="A22" t="s">
        <v>291</v>
      </c>
      <c r="B22" t="s">
        <v>273</v>
      </c>
      <c r="C22" t="s">
        <v>293</v>
      </c>
      <c r="D22" t="s">
        <v>1</v>
      </c>
      <c r="E22">
        <v>32575</v>
      </c>
      <c r="F22">
        <v>1628.75</v>
      </c>
      <c r="G22">
        <v>45721</v>
      </c>
    </row>
    <row r="23" spans="1:7" x14ac:dyDescent="0.25">
      <c r="A23" t="s">
        <v>292</v>
      </c>
      <c r="B23" t="s">
        <v>271</v>
      </c>
      <c r="C23" t="s">
        <v>290</v>
      </c>
      <c r="D23" t="s">
        <v>2</v>
      </c>
      <c r="E23">
        <v>10380</v>
      </c>
      <c r="F23">
        <v>622.79999999999995</v>
      </c>
      <c r="G23">
        <v>45669</v>
      </c>
    </row>
    <row r="24" spans="1:7" x14ac:dyDescent="0.25">
      <c r="A24" t="s">
        <v>292</v>
      </c>
      <c r="B24" t="s">
        <v>273</v>
      </c>
      <c r="C24" t="s">
        <v>227</v>
      </c>
      <c r="D24" t="s">
        <v>1</v>
      </c>
      <c r="E24">
        <v>13009</v>
      </c>
      <c r="F24">
        <v>2601.8000000000002</v>
      </c>
      <c r="G24">
        <v>45731</v>
      </c>
    </row>
    <row r="25" spans="1:7" x14ac:dyDescent="0.25">
      <c r="A25" t="s">
        <v>289</v>
      </c>
      <c r="B25" t="s">
        <v>271</v>
      </c>
      <c r="C25" t="s">
        <v>223</v>
      </c>
      <c r="D25" t="s">
        <v>1</v>
      </c>
      <c r="E25">
        <v>10529</v>
      </c>
      <c r="F25">
        <v>842.32</v>
      </c>
      <c r="G25">
        <v>45674</v>
      </c>
    </row>
    <row r="26" spans="1:7" x14ac:dyDescent="0.25">
      <c r="A26" t="s">
        <v>288</v>
      </c>
      <c r="B26" t="s">
        <v>272</v>
      </c>
      <c r="C26" t="s">
        <v>290</v>
      </c>
      <c r="D26" t="s">
        <v>1</v>
      </c>
      <c r="E26">
        <v>14635</v>
      </c>
      <c r="F26">
        <v>3512.4</v>
      </c>
      <c r="G26">
        <v>45692</v>
      </c>
    </row>
    <row r="27" spans="1:7" x14ac:dyDescent="0.25">
      <c r="A27" t="s">
        <v>289</v>
      </c>
      <c r="B27" t="s">
        <v>271</v>
      </c>
      <c r="C27" t="s">
        <v>223</v>
      </c>
      <c r="D27" t="s">
        <v>0</v>
      </c>
      <c r="E27">
        <v>30972</v>
      </c>
      <c r="F27">
        <v>7743</v>
      </c>
      <c r="G27">
        <v>45682</v>
      </c>
    </row>
    <row r="28" spans="1:7" x14ac:dyDescent="0.25">
      <c r="A28" t="s">
        <v>288</v>
      </c>
      <c r="B28" t="s">
        <v>273</v>
      </c>
      <c r="C28" t="s">
        <v>293</v>
      </c>
      <c r="D28" t="s">
        <v>1</v>
      </c>
      <c r="E28">
        <v>38386</v>
      </c>
      <c r="F28">
        <v>2687.02</v>
      </c>
      <c r="G28">
        <v>45721</v>
      </c>
    </row>
    <row r="29" spans="1:7" x14ac:dyDescent="0.25">
      <c r="A29" t="s">
        <v>289</v>
      </c>
      <c r="B29" t="s">
        <v>272</v>
      </c>
      <c r="C29" t="s">
        <v>293</v>
      </c>
      <c r="D29" t="s">
        <v>1</v>
      </c>
      <c r="E29">
        <v>27281</v>
      </c>
      <c r="F29">
        <v>5456.2</v>
      </c>
      <c r="G29">
        <v>45707</v>
      </c>
    </row>
    <row r="30" spans="1:7" x14ac:dyDescent="0.25">
      <c r="A30" t="s">
        <v>289</v>
      </c>
      <c r="B30" t="s">
        <v>271</v>
      </c>
      <c r="C30" t="s">
        <v>225</v>
      </c>
      <c r="D30" t="s">
        <v>1</v>
      </c>
      <c r="E30">
        <v>29384</v>
      </c>
      <c r="F30">
        <v>1763.04</v>
      </c>
      <c r="G30">
        <v>45673</v>
      </c>
    </row>
    <row r="31" spans="1:7" x14ac:dyDescent="0.25">
      <c r="A31" t="s">
        <v>292</v>
      </c>
      <c r="B31" t="s">
        <v>273</v>
      </c>
      <c r="C31" t="s">
        <v>293</v>
      </c>
      <c r="D31" t="s">
        <v>0</v>
      </c>
      <c r="E31">
        <v>18080</v>
      </c>
      <c r="F31">
        <v>1988.8</v>
      </c>
      <c r="G31">
        <v>45746</v>
      </c>
    </row>
    <row r="32" spans="1:7" x14ac:dyDescent="0.25">
      <c r="A32" t="s">
        <v>289</v>
      </c>
      <c r="B32" t="s">
        <v>271</v>
      </c>
      <c r="C32" t="s">
        <v>290</v>
      </c>
      <c r="D32" t="s">
        <v>2</v>
      </c>
      <c r="E32">
        <v>35593</v>
      </c>
      <c r="F32">
        <v>6762.67</v>
      </c>
      <c r="G32">
        <v>45660</v>
      </c>
    </row>
    <row r="33" spans="1:7" x14ac:dyDescent="0.25">
      <c r="A33" t="s">
        <v>288</v>
      </c>
      <c r="B33" t="s">
        <v>271</v>
      </c>
      <c r="C33" t="s">
        <v>227</v>
      </c>
      <c r="D33" t="s">
        <v>0</v>
      </c>
      <c r="E33">
        <v>33258</v>
      </c>
      <c r="F33">
        <v>2993.22</v>
      </c>
      <c r="G33">
        <v>45678</v>
      </c>
    </row>
    <row r="34" spans="1:7" x14ac:dyDescent="0.25">
      <c r="A34" t="s">
        <v>292</v>
      </c>
      <c r="B34" t="s">
        <v>271</v>
      </c>
      <c r="C34" t="s">
        <v>227</v>
      </c>
      <c r="D34" t="s">
        <v>1</v>
      </c>
      <c r="E34">
        <v>38992</v>
      </c>
      <c r="F34">
        <v>4679.04</v>
      </c>
      <c r="G34">
        <v>45658</v>
      </c>
    </row>
    <row r="35" spans="1:7" x14ac:dyDescent="0.25">
      <c r="A35" t="s">
        <v>288</v>
      </c>
      <c r="B35" t="s">
        <v>271</v>
      </c>
      <c r="C35" t="s">
        <v>227</v>
      </c>
      <c r="D35" t="s">
        <v>2</v>
      </c>
      <c r="E35">
        <v>13547</v>
      </c>
      <c r="F35">
        <v>1490.17</v>
      </c>
      <c r="G35">
        <v>45677</v>
      </c>
    </row>
    <row r="36" spans="1:7" x14ac:dyDescent="0.25">
      <c r="A36" t="s">
        <v>292</v>
      </c>
      <c r="B36" t="s">
        <v>271</v>
      </c>
      <c r="C36" t="s">
        <v>225</v>
      </c>
      <c r="D36" t="s">
        <v>1</v>
      </c>
      <c r="E36">
        <v>36092</v>
      </c>
      <c r="F36">
        <v>6857.48</v>
      </c>
      <c r="G36">
        <v>45673</v>
      </c>
    </row>
    <row r="37" spans="1:7" x14ac:dyDescent="0.25">
      <c r="A37" t="s">
        <v>291</v>
      </c>
      <c r="B37" t="s">
        <v>271</v>
      </c>
      <c r="C37" t="s">
        <v>225</v>
      </c>
      <c r="D37" t="s">
        <v>2</v>
      </c>
      <c r="E37">
        <v>31964</v>
      </c>
      <c r="F37">
        <v>4155.32</v>
      </c>
      <c r="G37">
        <v>45665</v>
      </c>
    </row>
    <row r="38" spans="1:7" x14ac:dyDescent="0.25">
      <c r="A38" t="s">
        <v>288</v>
      </c>
      <c r="B38" t="s">
        <v>271</v>
      </c>
      <c r="C38" t="s">
        <v>293</v>
      </c>
      <c r="D38" t="s">
        <v>0</v>
      </c>
      <c r="E38">
        <v>23710</v>
      </c>
      <c r="F38">
        <v>6164.6</v>
      </c>
      <c r="G38">
        <v>45684</v>
      </c>
    </row>
    <row r="39" spans="1:7" x14ac:dyDescent="0.25">
      <c r="A39" t="s">
        <v>289</v>
      </c>
      <c r="B39" t="s">
        <v>271</v>
      </c>
      <c r="C39" t="s">
        <v>227</v>
      </c>
      <c r="D39" t="s">
        <v>0</v>
      </c>
      <c r="E39">
        <v>32093</v>
      </c>
      <c r="F39">
        <v>3530.23</v>
      </c>
      <c r="G39">
        <v>45666</v>
      </c>
    </row>
    <row r="40" spans="1:7" x14ac:dyDescent="0.25">
      <c r="A40" t="s">
        <v>292</v>
      </c>
      <c r="B40" t="s">
        <v>271</v>
      </c>
      <c r="C40" t="s">
        <v>290</v>
      </c>
      <c r="D40" t="s">
        <v>2</v>
      </c>
      <c r="E40">
        <v>28973</v>
      </c>
      <c r="F40">
        <v>6663.79</v>
      </c>
      <c r="G40">
        <v>45665</v>
      </c>
    </row>
    <row r="41" spans="1:7" x14ac:dyDescent="0.25">
      <c r="A41" t="s">
        <v>289</v>
      </c>
      <c r="B41" t="s">
        <v>272</v>
      </c>
      <c r="C41" t="s">
        <v>227</v>
      </c>
      <c r="D41" t="s">
        <v>0</v>
      </c>
      <c r="E41">
        <v>36163</v>
      </c>
      <c r="F41">
        <v>1808.15</v>
      </c>
      <c r="G41">
        <v>45704</v>
      </c>
    </row>
    <row r="42" spans="1:7" x14ac:dyDescent="0.25">
      <c r="A42" t="s">
        <v>289</v>
      </c>
      <c r="B42" t="s">
        <v>273</v>
      </c>
      <c r="C42" t="s">
        <v>225</v>
      </c>
      <c r="D42" t="s">
        <v>2</v>
      </c>
      <c r="E42">
        <v>37193</v>
      </c>
      <c r="F42">
        <v>8554.39</v>
      </c>
      <c r="G42">
        <v>45727</v>
      </c>
    </row>
    <row r="43" spans="1:7" x14ac:dyDescent="0.25">
      <c r="A43" t="s">
        <v>291</v>
      </c>
      <c r="B43" t="s">
        <v>273</v>
      </c>
      <c r="C43" t="s">
        <v>290</v>
      </c>
      <c r="D43" t="s">
        <v>0</v>
      </c>
      <c r="E43">
        <v>14328</v>
      </c>
      <c r="F43">
        <v>2865.6</v>
      </c>
      <c r="G43">
        <v>45735</v>
      </c>
    </row>
    <row r="44" spans="1:7" x14ac:dyDescent="0.25">
      <c r="A44" t="s">
        <v>292</v>
      </c>
      <c r="B44" t="s">
        <v>273</v>
      </c>
      <c r="C44" t="s">
        <v>227</v>
      </c>
      <c r="D44" t="s">
        <v>0</v>
      </c>
      <c r="E44">
        <v>21329</v>
      </c>
      <c r="F44">
        <v>3199.35</v>
      </c>
      <c r="G44">
        <v>45720</v>
      </c>
    </row>
    <row r="45" spans="1:7" x14ac:dyDescent="0.25">
      <c r="A45" t="s">
        <v>289</v>
      </c>
      <c r="B45" t="s">
        <v>271</v>
      </c>
      <c r="C45" t="s">
        <v>227</v>
      </c>
      <c r="D45" t="s">
        <v>2</v>
      </c>
      <c r="E45">
        <v>33285</v>
      </c>
      <c r="F45">
        <v>9652.65</v>
      </c>
      <c r="G45">
        <v>45682</v>
      </c>
    </row>
    <row r="46" spans="1:7" x14ac:dyDescent="0.25">
      <c r="A46" t="s">
        <v>291</v>
      </c>
      <c r="B46" t="s">
        <v>271</v>
      </c>
      <c r="C46" t="s">
        <v>227</v>
      </c>
      <c r="D46" t="s">
        <v>1</v>
      </c>
      <c r="E46">
        <v>22592</v>
      </c>
      <c r="F46">
        <v>5648</v>
      </c>
      <c r="G46">
        <v>45685</v>
      </c>
    </row>
    <row r="47" spans="1:7" x14ac:dyDescent="0.25">
      <c r="A47" t="s">
        <v>292</v>
      </c>
      <c r="B47" t="s">
        <v>273</v>
      </c>
      <c r="C47" t="s">
        <v>223</v>
      </c>
      <c r="D47" t="s">
        <v>0</v>
      </c>
      <c r="E47">
        <v>11690</v>
      </c>
      <c r="F47">
        <v>3273.2</v>
      </c>
      <c r="G47">
        <v>45735</v>
      </c>
    </row>
    <row r="48" spans="1:7" x14ac:dyDescent="0.25">
      <c r="A48" t="s">
        <v>292</v>
      </c>
      <c r="B48" t="s">
        <v>273</v>
      </c>
      <c r="C48" t="s">
        <v>293</v>
      </c>
      <c r="D48" t="s">
        <v>2</v>
      </c>
      <c r="E48">
        <v>18783</v>
      </c>
      <c r="F48">
        <v>4132.26</v>
      </c>
      <c r="G48">
        <v>45743</v>
      </c>
    </row>
    <row r="49" spans="1:7" x14ac:dyDescent="0.25">
      <c r="A49" t="s">
        <v>288</v>
      </c>
      <c r="B49" t="s">
        <v>272</v>
      </c>
      <c r="C49" t="s">
        <v>223</v>
      </c>
      <c r="D49" t="s">
        <v>0</v>
      </c>
      <c r="E49">
        <v>37849</v>
      </c>
      <c r="F49">
        <v>2270.94</v>
      </c>
      <c r="G49">
        <v>45690</v>
      </c>
    </row>
    <row r="50" spans="1:7" x14ac:dyDescent="0.25">
      <c r="A50" t="s">
        <v>288</v>
      </c>
      <c r="B50" t="s">
        <v>272</v>
      </c>
      <c r="C50" t="s">
        <v>225</v>
      </c>
      <c r="D50" t="s">
        <v>2</v>
      </c>
      <c r="E50">
        <v>37548</v>
      </c>
      <c r="F50">
        <v>11264.4</v>
      </c>
      <c r="G50">
        <v>45700</v>
      </c>
    </row>
    <row r="51" spans="1:7" x14ac:dyDescent="0.25">
      <c r="A51" t="s">
        <v>291</v>
      </c>
      <c r="B51" t="s">
        <v>273</v>
      </c>
      <c r="C51" t="s">
        <v>223</v>
      </c>
      <c r="D51" t="s">
        <v>1</v>
      </c>
      <c r="E51">
        <v>28520</v>
      </c>
      <c r="F51">
        <v>5989.2</v>
      </c>
      <c r="G51">
        <v>45726</v>
      </c>
    </row>
    <row r="52" spans="1:7" x14ac:dyDescent="0.25">
      <c r="A52" t="s">
        <v>288</v>
      </c>
      <c r="B52" t="s">
        <v>272</v>
      </c>
      <c r="C52" t="s">
        <v>223</v>
      </c>
      <c r="D52" t="s">
        <v>2</v>
      </c>
      <c r="E52">
        <v>31125</v>
      </c>
      <c r="F52">
        <v>3735</v>
      </c>
      <c r="G52">
        <v>45712</v>
      </c>
    </row>
    <row r="53" spans="1:7" x14ac:dyDescent="0.25">
      <c r="A53" t="s">
        <v>292</v>
      </c>
      <c r="B53" t="s">
        <v>272</v>
      </c>
      <c r="C53" t="s">
        <v>223</v>
      </c>
      <c r="D53" t="s">
        <v>2</v>
      </c>
      <c r="E53">
        <v>33232</v>
      </c>
      <c r="F53">
        <v>4320.16</v>
      </c>
      <c r="G53">
        <v>45707</v>
      </c>
    </row>
    <row r="54" spans="1:7" x14ac:dyDescent="0.25">
      <c r="A54" t="s">
        <v>289</v>
      </c>
      <c r="B54" t="s">
        <v>271</v>
      </c>
      <c r="C54" t="s">
        <v>293</v>
      </c>
      <c r="D54" t="s">
        <v>2</v>
      </c>
      <c r="E54">
        <v>13155</v>
      </c>
      <c r="F54">
        <v>789.3</v>
      </c>
      <c r="G54">
        <v>45680</v>
      </c>
    </row>
    <row r="55" spans="1:7" x14ac:dyDescent="0.25">
      <c r="A55" t="s">
        <v>292</v>
      </c>
      <c r="B55" t="s">
        <v>272</v>
      </c>
      <c r="C55" t="s">
        <v>293</v>
      </c>
      <c r="D55" t="s">
        <v>0</v>
      </c>
      <c r="E55">
        <v>13055</v>
      </c>
      <c r="F55">
        <v>3002.65</v>
      </c>
      <c r="G55">
        <v>45705</v>
      </c>
    </row>
    <row r="56" spans="1:7" x14ac:dyDescent="0.25">
      <c r="A56" t="s">
        <v>291</v>
      </c>
      <c r="B56" t="s">
        <v>272</v>
      </c>
      <c r="C56" t="s">
        <v>223</v>
      </c>
      <c r="D56" t="s">
        <v>0</v>
      </c>
      <c r="E56">
        <v>19099</v>
      </c>
      <c r="F56">
        <v>954.95</v>
      </c>
      <c r="G56">
        <v>45691</v>
      </c>
    </row>
    <row r="57" spans="1:7" x14ac:dyDescent="0.25">
      <c r="A57" t="s">
        <v>291</v>
      </c>
      <c r="B57" t="s">
        <v>273</v>
      </c>
      <c r="C57" t="s">
        <v>223</v>
      </c>
      <c r="D57" t="s">
        <v>2</v>
      </c>
      <c r="E57">
        <v>25000</v>
      </c>
      <c r="F57">
        <v>1750</v>
      </c>
      <c r="G57">
        <v>45735</v>
      </c>
    </row>
    <row r="58" spans="1:7" x14ac:dyDescent="0.25">
      <c r="A58" t="s">
        <v>292</v>
      </c>
      <c r="B58" t="s">
        <v>273</v>
      </c>
      <c r="C58" t="s">
        <v>227</v>
      </c>
      <c r="D58" t="s">
        <v>1</v>
      </c>
      <c r="E58">
        <v>26388</v>
      </c>
      <c r="F58">
        <v>2111.04</v>
      </c>
      <c r="G58">
        <v>45741</v>
      </c>
    </row>
    <row r="59" spans="1:7" x14ac:dyDescent="0.25">
      <c r="A59" t="s">
        <v>291</v>
      </c>
      <c r="B59" t="s">
        <v>273</v>
      </c>
      <c r="C59" t="s">
        <v>293</v>
      </c>
      <c r="D59" t="s">
        <v>0</v>
      </c>
      <c r="E59">
        <v>24126</v>
      </c>
      <c r="F59">
        <v>3618.9</v>
      </c>
      <c r="G59">
        <v>45723</v>
      </c>
    </row>
    <row r="60" spans="1:7" x14ac:dyDescent="0.25">
      <c r="A60" t="s">
        <v>292</v>
      </c>
      <c r="B60" t="s">
        <v>271</v>
      </c>
      <c r="C60" t="s">
        <v>290</v>
      </c>
      <c r="D60" t="s">
        <v>0</v>
      </c>
      <c r="E60">
        <v>32605</v>
      </c>
      <c r="F60">
        <v>9781.5</v>
      </c>
      <c r="G60">
        <v>45681</v>
      </c>
    </row>
    <row r="61" spans="1:7" x14ac:dyDescent="0.25">
      <c r="A61" t="s">
        <v>291</v>
      </c>
      <c r="B61" t="s">
        <v>272</v>
      </c>
      <c r="C61" t="s">
        <v>227</v>
      </c>
      <c r="D61" t="s">
        <v>1</v>
      </c>
      <c r="E61">
        <v>35157</v>
      </c>
      <c r="F61">
        <v>5625.12</v>
      </c>
      <c r="G61">
        <v>45701</v>
      </c>
    </row>
    <row r="62" spans="1:7" x14ac:dyDescent="0.25">
      <c r="A62" t="s">
        <v>289</v>
      </c>
      <c r="B62" t="s">
        <v>273</v>
      </c>
      <c r="C62" t="s">
        <v>290</v>
      </c>
      <c r="D62" t="s">
        <v>2</v>
      </c>
      <c r="E62">
        <v>26938</v>
      </c>
      <c r="F62">
        <v>4310.08</v>
      </c>
      <c r="G62">
        <v>45729</v>
      </c>
    </row>
    <row r="63" spans="1:7" x14ac:dyDescent="0.25">
      <c r="A63" t="s">
        <v>289</v>
      </c>
      <c r="B63" t="s">
        <v>272</v>
      </c>
      <c r="C63" t="s">
        <v>227</v>
      </c>
      <c r="D63" t="s">
        <v>2</v>
      </c>
      <c r="E63">
        <v>23140</v>
      </c>
      <c r="F63">
        <v>3239.6</v>
      </c>
      <c r="G63">
        <v>45712</v>
      </c>
    </row>
    <row r="64" spans="1:7" x14ac:dyDescent="0.25">
      <c r="A64" t="s">
        <v>291</v>
      </c>
      <c r="B64" t="s">
        <v>273</v>
      </c>
      <c r="C64" t="s">
        <v>293</v>
      </c>
      <c r="D64" t="s">
        <v>0</v>
      </c>
      <c r="E64">
        <v>39711</v>
      </c>
      <c r="F64">
        <v>6353.76</v>
      </c>
      <c r="G64">
        <v>45741</v>
      </c>
    </row>
    <row r="65" spans="1:7" x14ac:dyDescent="0.25">
      <c r="A65" t="s">
        <v>291</v>
      </c>
      <c r="B65" t="s">
        <v>271</v>
      </c>
      <c r="C65" t="s">
        <v>227</v>
      </c>
      <c r="D65" t="s">
        <v>2</v>
      </c>
      <c r="E65">
        <v>22840</v>
      </c>
      <c r="F65">
        <v>5481.6</v>
      </c>
      <c r="G65">
        <v>45671</v>
      </c>
    </row>
    <row r="66" spans="1:7" x14ac:dyDescent="0.25">
      <c r="A66" t="s">
        <v>288</v>
      </c>
      <c r="B66" t="s">
        <v>272</v>
      </c>
      <c r="C66" t="s">
        <v>223</v>
      </c>
      <c r="D66" t="s">
        <v>0</v>
      </c>
      <c r="E66">
        <v>24033</v>
      </c>
      <c r="F66">
        <v>6488.91</v>
      </c>
      <c r="G66">
        <v>45696</v>
      </c>
    </row>
    <row r="67" spans="1:7" x14ac:dyDescent="0.25">
      <c r="A67" t="s">
        <v>292</v>
      </c>
      <c r="B67" t="s">
        <v>271</v>
      </c>
      <c r="C67" t="s">
        <v>290</v>
      </c>
      <c r="D67" t="s">
        <v>2</v>
      </c>
      <c r="E67">
        <v>19320</v>
      </c>
      <c r="F67">
        <v>2704.8</v>
      </c>
      <c r="G67">
        <v>45679</v>
      </c>
    </row>
    <row r="68" spans="1:7" x14ac:dyDescent="0.25">
      <c r="A68" t="s">
        <v>289</v>
      </c>
      <c r="B68" t="s">
        <v>272</v>
      </c>
      <c r="C68" t="s">
        <v>225</v>
      </c>
      <c r="D68" t="s">
        <v>0</v>
      </c>
      <c r="E68">
        <v>25551</v>
      </c>
      <c r="F68">
        <v>1788.57</v>
      </c>
      <c r="G68">
        <v>45694</v>
      </c>
    </row>
    <row r="69" spans="1:7" x14ac:dyDescent="0.25">
      <c r="A69" t="s">
        <v>288</v>
      </c>
      <c r="B69" t="s">
        <v>273</v>
      </c>
      <c r="C69" t="s">
        <v>223</v>
      </c>
      <c r="D69" t="s">
        <v>1</v>
      </c>
      <c r="E69">
        <v>38869</v>
      </c>
      <c r="F69">
        <v>10883.32</v>
      </c>
      <c r="G69">
        <v>45736</v>
      </c>
    </row>
    <row r="70" spans="1:7" x14ac:dyDescent="0.25">
      <c r="A70" t="s">
        <v>292</v>
      </c>
      <c r="B70" t="s">
        <v>271</v>
      </c>
      <c r="C70" t="s">
        <v>227</v>
      </c>
      <c r="D70" t="s">
        <v>1</v>
      </c>
      <c r="E70">
        <v>14854</v>
      </c>
      <c r="F70">
        <v>3564.96</v>
      </c>
      <c r="G70">
        <v>45681</v>
      </c>
    </row>
    <row r="71" spans="1:7" x14ac:dyDescent="0.25">
      <c r="A71" t="s">
        <v>289</v>
      </c>
      <c r="B71" t="s">
        <v>271</v>
      </c>
      <c r="C71" t="s">
        <v>223</v>
      </c>
      <c r="D71" t="s">
        <v>1</v>
      </c>
      <c r="E71">
        <v>36652</v>
      </c>
      <c r="F71">
        <v>2932.16</v>
      </c>
      <c r="G71">
        <v>45674</v>
      </c>
    </row>
    <row r="72" spans="1:7" x14ac:dyDescent="0.25">
      <c r="A72" t="s">
        <v>292</v>
      </c>
      <c r="B72" t="s">
        <v>273</v>
      </c>
      <c r="C72" t="s">
        <v>225</v>
      </c>
      <c r="D72" t="s">
        <v>1</v>
      </c>
      <c r="E72">
        <v>24629</v>
      </c>
      <c r="F72">
        <v>5172.09</v>
      </c>
      <c r="G72">
        <v>45727</v>
      </c>
    </row>
    <row r="73" spans="1:7" x14ac:dyDescent="0.25">
      <c r="A73" t="s">
        <v>291</v>
      </c>
      <c r="B73" t="s">
        <v>272</v>
      </c>
      <c r="C73" t="s">
        <v>227</v>
      </c>
      <c r="D73" t="s">
        <v>0</v>
      </c>
      <c r="E73">
        <v>13625</v>
      </c>
      <c r="F73">
        <v>3951.25</v>
      </c>
      <c r="G73">
        <v>45699</v>
      </c>
    </row>
    <row r="74" spans="1:7" x14ac:dyDescent="0.25">
      <c r="A74" t="s">
        <v>288</v>
      </c>
      <c r="B74" t="s">
        <v>273</v>
      </c>
      <c r="C74" t="s">
        <v>290</v>
      </c>
      <c r="D74" t="s">
        <v>1</v>
      </c>
      <c r="E74">
        <v>22739</v>
      </c>
      <c r="F74">
        <v>3410.85</v>
      </c>
      <c r="G74">
        <v>45719</v>
      </c>
    </row>
    <row r="75" spans="1:7" x14ac:dyDescent="0.25">
      <c r="A75" t="s">
        <v>292</v>
      </c>
      <c r="B75" t="s">
        <v>273</v>
      </c>
      <c r="C75" t="s">
        <v>293</v>
      </c>
      <c r="D75" t="s">
        <v>2</v>
      </c>
      <c r="E75">
        <v>11493</v>
      </c>
      <c r="F75">
        <v>2758.32</v>
      </c>
      <c r="G75">
        <v>45744</v>
      </c>
    </row>
    <row r="76" spans="1:7" x14ac:dyDescent="0.25">
      <c r="A76" t="s">
        <v>291</v>
      </c>
      <c r="B76" t="s">
        <v>271</v>
      </c>
      <c r="C76" t="s">
        <v>223</v>
      </c>
      <c r="D76" t="s">
        <v>1</v>
      </c>
      <c r="E76">
        <v>24712</v>
      </c>
      <c r="F76">
        <v>2965.44</v>
      </c>
      <c r="G76">
        <v>45680</v>
      </c>
    </row>
    <row r="77" spans="1:7" x14ac:dyDescent="0.25">
      <c r="A77" t="s">
        <v>288</v>
      </c>
      <c r="B77" t="s">
        <v>271</v>
      </c>
      <c r="C77" t="s">
        <v>293</v>
      </c>
      <c r="D77" t="s">
        <v>2</v>
      </c>
      <c r="E77">
        <v>28703</v>
      </c>
      <c r="F77">
        <v>5166.54</v>
      </c>
      <c r="G77">
        <v>45680</v>
      </c>
    </row>
    <row r="78" spans="1:7" x14ac:dyDescent="0.25">
      <c r="A78" t="s">
        <v>292</v>
      </c>
      <c r="B78" t="s">
        <v>273</v>
      </c>
      <c r="C78" t="s">
        <v>223</v>
      </c>
      <c r="D78" t="s">
        <v>2</v>
      </c>
      <c r="E78">
        <v>13629</v>
      </c>
      <c r="F78">
        <v>3952.41</v>
      </c>
      <c r="G78">
        <v>45741</v>
      </c>
    </row>
    <row r="79" spans="1:7" x14ac:dyDescent="0.25">
      <c r="A79" t="s">
        <v>291</v>
      </c>
      <c r="B79" t="s">
        <v>271</v>
      </c>
      <c r="C79" t="s">
        <v>227</v>
      </c>
      <c r="D79" t="s">
        <v>2</v>
      </c>
      <c r="E79">
        <v>11055</v>
      </c>
      <c r="F79">
        <v>2321.5500000000002</v>
      </c>
      <c r="G79">
        <v>45665</v>
      </c>
    </row>
    <row r="80" spans="1:7" x14ac:dyDescent="0.25">
      <c r="A80" t="s">
        <v>288</v>
      </c>
      <c r="B80" t="s">
        <v>273</v>
      </c>
      <c r="C80" t="s">
        <v>223</v>
      </c>
      <c r="D80" t="s">
        <v>0</v>
      </c>
      <c r="E80">
        <v>25933</v>
      </c>
      <c r="F80">
        <v>3889.95</v>
      </c>
      <c r="G80">
        <v>45742</v>
      </c>
    </row>
    <row r="81" spans="1:7" x14ac:dyDescent="0.25">
      <c r="A81" t="s">
        <v>291</v>
      </c>
      <c r="B81" t="s">
        <v>272</v>
      </c>
      <c r="C81" t="s">
        <v>225</v>
      </c>
      <c r="D81" t="s">
        <v>0</v>
      </c>
      <c r="E81">
        <v>16795</v>
      </c>
      <c r="F81">
        <v>2519.25</v>
      </c>
      <c r="G81">
        <v>45694</v>
      </c>
    </row>
    <row r="82" spans="1:7" x14ac:dyDescent="0.25">
      <c r="A82" t="s">
        <v>288</v>
      </c>
      <c r="B82" t="s">
        <v>272</v>
      </c>
      <c r="C82" t="s">
        <v>225</v>
      </c>
      <c r="D82" t="s">
        <v>0</v>
      </c>
      <c r="E82">
        <v>30424</v>
      </c>
      <c r="F82">
        <v>1825.44</v>
      </c>
      <c r="G82">
        <v>45706</v>
      </c>
    </row>
    <row r="83" spans="1:7" x14ac:dyDescent="0.25">
      <c r="A83" t="s">
        <v>291</v>
      </c>
      <c r="B83" t="s">
        <v>272</v>
      </c>
      <c r="C83" t="s">
        <v>223</v>
      </c>
      <c r="D83" t="s">
        <v>1</v>
      </c>
      <c r="E83">
        <v>15588</v>
      </c>
      <c r="F83">
        <v>3273.48</v>
      </c>
      <c r="G83">
        <v>45713</v>
      </c>
    </row>
    <row r="84" spans="1:7" x14ac:dyDescent="0.25">
      <c r="A84" t="s">
        <v>288</v>
      </c>
      <c r="B84" t="s">
        <v>273</v>
      </c>
      <c r="C84" t="s">
        <v>293</v>
      </c>
      <c r="D84" t="s">
        <v>0</v>
      </c>
      <c r="E84">
        <v>20278</v>
      </c>
      <c r="F84">
        <v>4866.72</v>
      </c>
      <c r="G84">
        <v>45741</v>
      </c>
    </row>
    <row r="85" spans="1:7" x14ac:dyDescent="0.25">
      <c r="A85" t="s">
        <v>288</v>
      </c>
      <c r="B85" t="s">
        <v>271</v>
      </c>
      <c r="C85" t="s">
        <v>223</v>
      </c>
      <c r="D85" t="s">
        <v>2</v>
      </c>
      <c r="E85">
        <v>29389</v>
      </c>
      <c r="F85">
        <v>8228.92</v>
      </c>
      <c r="G85">
        <v>45684</v>
      </c>
    </row>
    <row r="86" spans="1:7" x14ac:dyDescent="0.25">
      <c r="A86" t="s">
        <v>289</v>
      </c>
      <c r="B86" t="s">
        <v>273</v>
      </c>
      <c r="C86" t="s">
        <v>293</v>
      </c>
      <c r="D86" t="s">
        <v>1</v>
      </c>
      <c r="E86">
        <v>26750</v>
      </c>
      <c r="F86">
        <v>1605</v>
      </c>
      <c r="G86">
        <v>45726</v>
      </c>
    </row>
    <row r="87" spans="1:7" x14ac:dyDescent="0.25">
      <c r="A87" t="s">
        <v>289</v>
      </c>
      <c r="B87" t="s">
        <v>273</v>
      </c>
      <c r="C87" t="s">
        <v>290</v>
      </c>
      <c r="D87" t="s">
        <v>0</v>
      </c>
      <c r="E87">
        <v>36699</v>
      </c>
      <c r="F87">
        <v>4403.88</v>
      </c>
      <c r="G87">
        <v>45728</v>
      </c>
    </row>
    <row r="88" spans="1:7" x14ac:dyDescent="0.25">
      <c r="A88" t="s">
        <v>291</v>
      </c>
      <c r="B88" t="s">
        <v>272</v>
      </c>
      <c r="C88" t="s">
        <v>227</v>
      </c>
      <c r="D88" t="s">
        <v>0</v>
      </c>
      <c r="E88">
        <v>29281</v>
      </c>
      <c r="F88">
        <v>1756.86</v>
      </c>
      <c r="G88">
        <v>45695</v>
      </c>
    </row>
    <row r="89" spans="1:7" x14ac:dyDescent="0.25">
      <c r="A89" t="s">
        <v>291</v>
      </c>
      <c r="B89" t="s">
        <v>271</v>
      </c>
      <c r="C89" t="s">
        <v>290</v>
      </c>
      <c r="D89" t="s">
        <v>0</v>
      </c>
      <c r="E89">
        <v>19361</v>
      </c>
      <c r="F89">
        <v>5033.8599999999997</v>
      </c>
      <c r="G89">
        <v>45661</v>
      </c>
    </row>
    <row r="90" spans="1:7" x14ac:dyDescent="0.25">
      <c r="A90" t="s">
        <v>291</v>
      </c>
      <c r="B90" t="s">
        <v>271</v>
      </c>
      <c r="C90" t="s">
        <v>293</v>
      </c>
      <c r="D90" t="s">
        <v>1</v>
      </c>
      <c r="E90">
        <v>38914</v>
      </c>
      <c r="F90">
        <v>6226.24</v>
      </c>
      <c r="G90">
        <v>45668</v>
      </c>
    </row>
    <row r="91" spans="1:7" x14ac:dyDescent="0.25">
      <c r="A91" t="s">
        <v>291</v>
      </c>
      <c r="B91" t="s">
        <v>271</v>
      </c>
      <c r="C91" t="s">
        <v>225</v>
      </c>
      <c r="D91" t="s">
        <v>2</v>
      </c>
      <c r="E91">
        <v>25694</v>
      </c>
      <c r="F91">
        <v>5909.62</v>
      </c>
      <c r="G91">
        <v>45688</v>
      </c>
    </row>
    <row r="92" spans="1:7" x14ac:dyDescent="0.25">
      <c r="A92" t="s">
        <v>288</v>
      </c>
      <c r="B92" t="s">
        <v>273</v>
      </c>
      <c r="C92" t="s">
        <v>290</v>
      </c>
      <c r="D92" t="s">
        <v>0</v>
      </c>
      <c r="E92">
        <v>17833</v>
      </c>
      <c r="F92">
        <v>2139.96</v>
      </c>
      <c r="G92">
        <v>45733</v>
      </c>
    </row>
    <row r="93" spans="1:7" x14ac:dyDescent="0.25">
      <c r="A93" t="s">
        <v>288</v>
      </c>
      <c r="B93" t="s">
        <v>272</v>
      </c>
      <c r="C93" t="s">
        <v>290</v>
      </c>
      <c r="D93" t="s">
        <v>0</v>
      </c>
      <c r="E93">
        <v>17159</v>
      </c>
      <c r="F93">
        <v>2573.85</v>
      </c>
      <c r="G93">
        <v>45701</v>
      </c>
    </row>
    <row r="94" spans="1:7" x14ac:dyDescent="0.25">
      <c r="A94" t="s">
        <v>292</v>
      </c>
      <c r="B94" t="s">
        <v>271</v>
      </c>
      <c r="C94" t="s">
        <v>290</v>
      </c>
      <c r="D94" t="s">
        <v>1</v>
      </c>
      <c r="E94">
        <v>19758</v>
      </c>
      <c r="F94">
        <v>1580.64</v>
      </c>
      <c r="G94">
        <v>45686</v>
      </c>
    </row>
    <row r="95" spans="1:7" x14ac:dyDescent="0.25">
      <c r="A95" t="s">
        <v>289</v>
      </c>
      <c r="B95" t="s">
        <v>273</v>
      </c>
      <c r="C95" t="s">
        <v>227</v>
      </c>
      <c r="D95" t="s">
        <v>0</v>
      </c>
      <c r="E95">
        <v>36840</v>
      </c>
      <c r="F95">
        <v>2578.8000000000002</v>
      </c>
      <c r="G95">
        <v>45742</v>
      </c>
    </row>
    <row r="96" spans="1:7" x14ac:dyDescent="0.25">
      <c r="A96" t="s">
        <v>288</v>
      </c>
      <c r="B96" t="s">
        <v>271</v>
      </c>
      <c r="C96" t="s">
        <v>290</v>
      </c>
      <c r="D96" t="s">
        <v>1</v>
      </c>
      <c r="E96">
        <v>21622</v>
      </c>
      <c r="F96">
        <v>3459.52</v>
      </c>
      <c r="G96">
        <v>45677</v>
      </c>
    </row>
    <row r="97" spans="1:7" x14ac:dyDescent="0.25">
      <c r="A97" t="s">
        <v>289</v>
      </c>
      <c r="B97" t="s">
        <v>272</v>
      </c>
      <c r="C97" t="s">
        <v>293</v>
      </c>
      <c r="D97" t="s">
        <v>1</v>
      </c>
      <c r="E97">
        <v>18626</v>
      </c>
      <c r="F97">
        <v>2048.86</v>
      </c>
      <c r="G97">
        <v>45709</v>
      </c>
    </row>
    <row r="98" spans="1:7" x14ac:dyDescent="0.25">
      <c r="A98" t="s">
        <v>288</v>
      </c>
      <c r="B98" t="s">
        <v>271</v>
      </c>
      <c r="C98" t="s">
        <v>225</v>
      </c>
      <c r="D98" t="s">
        <v>1</v>
      </c>
      <c r="E98">
        <v>32255</v>
      </c>
      <c r="F98">
        <v>4193.1499999999996</v>
      </c>
      <c r="G98">
        <v>45668</v>
      </c>
    </row>
    <row r="99" spans="1:7" x14ac:dyDescent="0.25">
      <c r="A99" t="s">
        <v>288</v>
      </c>
      <c r="B99" t="s">
        <v>271</v>
      </c>
      <c r="C99" t="s">
        <v>225</v>
      </c>
      <c r="D99" t="s">
        <v>1</v>
      </c>
      <c r="E99">
        <v>10483</v>
      </c>
      <c r="F99">
        <v>1991.77</v>
      </c>
      <c r="G99">
        <v>45684</v>
      </c>
    </row>
    <row r="100" spans="1:7" x14ac:dyDescent="0.25">
      <c r="A100" t="s">
        <v>289</v>
      </c>
      <c r="B100" t="s">
        <v>273</v>
      </c>
      <c r="C100" t="s">
        <v>223</v>
      </c>
      <c r="D100" t="s">
        <v>2</v>
      </c>
      <c r="E100">
        <v>30168</v>
      </c>
      <c r="F100">
        <v>8447.0400000000009</v>
      </c>
      <c r="G100">
        <v>45739</v>
      </c>
    </row>
    <row r="101" spans="1:7" x14ac:dyDescent="0.25">
      <c r="A101" t="s">
        <v>291</v>
      </c>
      <c r="B101" t="s">
        <v>272</v>
      </c>
      <c r="C101" t="s">
        <v>227</v>
      </c>
      <c r="D101" t="s">
        <v>2</v>
      </c>
      <c r="E101">
        <v>39227</v>
      </c>
      <c r="F101">
        <v>8629.94</v>
      </c>
      <c r="G101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21</vt:i4>
      </vt:variant>
    </vt:vector>
  </HeadingPairs>
  <TitlesOfParts>
    <vt:vector size="63" baseType="lpstr">
      <vt:lpstr>Sheet1</vt:lpstr>
      <vt:lpstr>Sheet2</vt:lpstr>
      <vt:lpstr>Sheet4</vt:lpstr>
      <vt:lpstr>Sheet5</vt:lpstr>
      <vt:lpstr>Sheet6</vt:lpstr>
      <vt:lpstr>Sheet3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Sheet17</vt:lpstr>
      <vt:lpstr>Sheet16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Sheet29</vt:lpstr>
      <vt:lpstr>Sheet32</vt:lpstr>
      <vt:lpstr>Sheet28</vt:lpstr>
      <vt:lpstr>Sheet31</vt:lpstr>
      <vt:lpstr>Sheet30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Agent</vt:lpstr>
      <vt:lpstr>Sheet40!Date</vt:lpstr>
      <vt:lpstr>Date</vt:lpstr>
      <vt:lpstr>Grant</vt:lpstr>
      <vt:lpstr>Sheet40!Month</vt:lpstr>
      <vt:lpstr>Month</vt:lpstr>
      <vt:lpstr>Sheet40!Name</vt:lpstr>
      <vt:lpstr>Name</vt:lpstr>
      <vt:lpstr>Sheet40!Product</vt:lpstr>
      <vt:lpstr>Product</vt:lpstr>
      <vt:lpstr>Sheet40!Profit</vt:lpstr>
      <vt:lpstr>Profit</vt:lpstr>
      <vt:lpstr>Quarter1</vt:lpstr>
      <vt:lpstr>Quarter2</vt:lpstr>
      <vt:lpstr>Quarter3</vt:lpstr>
      <vt:lpstr>Quarter4</vt:lpstr>
      <vt:lpstr>Sheet40!Region</vt:lpstr>
      <vt:lpstr>Region</vt:lpstr>
      <vt:lpstr>Sheet40!Sales</vt:lpstr>
      <vt:lpstr>Sales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Babu Singam</dc:creator>
  <cp:lastModifiedBy>Ravi Babu Singam</cp:lastModifiedBy>
  <dcterms:created xsi:type="dcterms:W3CDTF">2025-12-16T04:52:00Z</dcterms:created>
  <dcterms:modified xsi:type="dcterms:W3CDTF">2025-12-30T04:21:58Z</dcterms:modified>
</cp:coreProperties>
</file>